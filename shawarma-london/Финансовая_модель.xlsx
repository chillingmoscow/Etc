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Меню и фудкост" sheetId="3" state="visible" r:id="rId3"/>
    <sheet xmlns:r="http://schemas.openxmlformats.org/officeDocument/2006/relationships" name="Выручка" sheetId="4" state="visible" r:id="rId4"/>
    <sheet xmlns:r="http://schemas.openxmlformats.org/officeDocument/2006/relationships" name="Персонал" sheetId="5" state="visible" r:id="rId5"/>
    <sheet xmlns:r="http://schemas.openxmlformats.org/officeDocument/2006/relationships" name="Опер. расходы" sheetId="6" state="visible" r:id="rId6"/>
    <sheet xmlns:r="http://schemas.openxmlformats.org/officeDocument/2006/relationships" name="Стартовые вложения" sheetId="7" state="visible" r:id="rId7"/>
    <sheet xmlns:r="http://schemas.openxmlformats.org/officeDocument/2006/relationships" name="P&amp;L (3 года)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Безубыточность" sheetId="10" state="visible" r:id="rId10"/>
    <sheet xmlns:r="http://schemas.openxmlformats.org/officeDocument/2006/relationships" name="Налог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.00;(£#,##0.00);&quot;-&quot;"/>
    <numFmt numFmtId="165" formatCode="0.0%"/>
    <numFmt numFmtId="166" formatCode="#,##0.0"/>
    <numFmt numFmtId="167" formatCode="£#,##0;(£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DF3E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7" fontId="8" fillId="6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0" fontId="2" fillId="0" borderId="1" pivotButton="0" quotePrefix="0" xfId="0"/>
    <xf numFmtId="167" fontId="6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ФИНАНСОВАЯ МОДЕЛЬ — шаурма-киоск в Лондоне (московский стиль)</t>
        </is>
      </c>
    </row>
    <row r="4">
      <c r="B4" s="2" t="inlineStr"/>
    </row>
    <row r="5">
      <c r="B5" s="2" t="inlineStr">
        <is>
          <t>Проект: небольшой уличный киоск (несколько кв. м), шаурма на курице, майонезный соус, армянский лаваш.</t>
        </is>
      </c>
    </row>
    <row r="6">
      <c r="B6" s="2" t="inlineStr">
        <is>
          <t>Локация базового сценария: Kensington &amp; Chelsea (Челси / Саут-Кенсингтон), премиальное позиционирование.</t>
        </is>
      </c>
    </row>
    <row r="7">
      <c r="B7" s="2" t="inlineStr">
        <is>
          <t>Валюта: фунт стерлингов (£). Все суммы указаны БЕЗ НДС, если не оговорено иное. Налоговый год — 2026/27.</t>
        </is>
      </c>
    </row>
    <row r="8">
      <c r="B8" s="2" t="inlineStr"/>
    </row>
    <row r="9">
      <c r="B9" s="3" t="inlineStr">
        <is>
          <t>КАК ПОЛЬЗОВАТЬСЯ:</t>
        </is>
      </c>
    </row>
    <row r="10">
      <c r="B10" s="2" t="inlineStr">
        <is>
          <t>• Меняйте только СИНИЕ ячейки (это вводные допущения). Все остальные значения считаются формулами.</t>
        </is>
      </c>
    </row>
    <row r="11">
      <c r="B11" s="2" t="inlineStr">
        <is>
          <t>• Начните с листа «Допущения» — там собраны все ключевые параметры и ставки налогов со ссылками на источники.</t>
        </is>
      </c>
    </row>
    <row r="12">
      <c r="B12" s="2" t="inlineStr">
        <is>
          <t>• Лист «Меню и фудкост» — оптовая себестоимость одной порции (bill of materials).</t>
        </is>
      </c>
    </row>
    <row r="13">
      <c r="B13" s="2" t="inlineStr">
        <is>
          <t>• Листы «Выручка», «Персонал», «Опер. расходы», «Стартовые вложения» — драйверы модели.</t>
        </is>
      </c>
    </row>
    <row r="14">
      <c r="B14" s="2" t="inlineStr">
        <is>
          <t>• Итоги: «P&amp;L (3 года)», «Cash flow», «Безубыточность», «Налоги».</t>
        </is>
      </c>
    </row>
    <row r="15">
      <c r="B15" s="2" t="inlineStr"/>
    </row>
    <row r="16">
      <c r="B16" s="3" t="inlineStr">
        <is>
          <t>ЛЕГЕНДА ЦВЕТОВ:</t>
        </is>
      </c>
    </row>
    <row r="17">
      <c r="B17" s="2" t="inlineStr">
        <is>
          <t>• Синий шрифт — редактируемая вводная (input).</t>
        </is>
      </c>
    </row>
    <row r="18">
      <c r="B18" s="2" t="inlineStr">
        <is>
          <t>• Чёрный шрифт — формула (расчёт внутри листа).</t>
        </is>
      </c>
    </row>
    <row r="19">
      <c r="B19" s="2" t="inlineStr">
        <is>
          <t>• Зелёный шрифт — ссылка на другой лист.</t>
        </is>
      </c>
    </row>
    <row r="20">
      <c r="B20" s="2" t="inlineStr">
        <is>
          <t>• Жёлтая заливка — ключевое допущение / поле для заполнения.</t>
        </is>
      </c>
    </row>
    <row r="21">
      <c r="B21" s="2" t="inlineStr"/>
    </row>
    <row r="22">
      <c r="B22" s="2" t="inlineStr">
        <is>
          <t>ВАЖНО ПРО НДС: горячая еда навынос облагается НДС по ставке 20% (HMRC VAT Notice 701/14).</t>
        </is>
      </c>
    </row>
    <row r="23">
      <c r="B23" s="2" t="inlineStr">
        <is>
          <t>Выручка в P&amp;L показана НЕТТО (без НДС). Порог обязательной регистрации по НДС — £90,000 оборота.</t>
        </is>
      </c>
    </row>
    <row r="24">
      <c r="B24" s="2" t="inlineStr">
        <is>
          <t>Сырьё (мясо, овощи, лаваш) в основном имеет нулевую ставку НДС, поэтому входящий НДС к возмещению</t>
        </is>
      </c>
    </row>
    <row r="25">
      <c r="B25" s="2" t="inlineStr">
        <is>
          <t>формируется в основном по упаковке, коммуналке и услугам (это учтено в листах «Налоги» и «Cash flow»).</t>
        </is>
      </c>
    </row>
    <row r="26">
      <c r="B26" s="2" t="inlineStr"/>
    </row>
    <row r="27">
      <c r="B27" s="2" t="inlineStr">
        <is>
          <t>ДИСКЛЕЙМЕР: цифры — обоснованные рыночные оценки на 2026 г. со ссылками (лист «Налоги» и файл</t>
        </is>
      </c>
    </row>
    <row r="28">
      <c r="B28" s="2" t="inlineStr">
        <is>
          <t>«Источники.md»). Перед запуском уточните актуальные котировки у поставщиков, ставки аренды/лицензий</t>
        </is>
      </c>
    </row>
    <row r="29">
      <c r="B29" s="2" t="inlineStr">
        <is>
          <t>в конкретном боро и проконсультируйтесь с бухгалтером (accountant) и HMRC.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64" customWidth="1" min="4" max="4"/>
  </cols>
  <sheetData>
    <row r="1">
      <c r="A1" s="1" t="inlineStr">
        <is>
          <t>ДОПУЩЕНИЯ / INPUTS — Шаурма-киоск, Лондон (2026/27)</t>
        </is>
      </c>
    </row>
    <row r="2">
      <c r="A2" s="4" t="inlineStr">
        <is>
          <t>Синие ячейки — редактируемые вводные. Суммы в £ без НДС, если не указано иное.</t>
        </is>
      </c>
    </row>
    <row r="3">
      <c r="A3" s="5" t="inlineStr">
        <is>
          <t>Параметр</t>
        </is>
      </c>
      <c r="B3" s="5" t="inlineStr">
        <is>
          <t>Значение</t>
        </is>
      </c>
      <c r="C3" s="5" t="inlineStr">
        <is>
          <t>Ед.</t>
        </is>
      </c>
      <c r="D3" s="5" t="inlineStr">
        <is>
          <t>Комментарий / источник</t>
        </is>
      </c>
    </row>
    <row r="4">
      <c r="A4" s="6" t="inlineStr">
        <is>
          <t>1. ПРОДАЖИ</t>
        </is>
      </c>
    </row>
    <row r="5">
      <c r="A5" s="7" t="inlineStr">
        <is>
          <t>Порций (шаурмы) в день — база</t>
        </is>
      </c>
      <c r="B5" s="8" t="n">
        <v>90</v>
      </c>
      <c r="C5" s="9" t="inlineStr">
        <is>
          <t>шт</t>
        </is>
      </c>
      <c r="D5" s="10" t="inlineStr">
        <is>
          <t>Средний поток заказов; варьируется в «Безубыточности».</t>
        </is>
      </c>
    </row>
    <row r="6">
      <c r="A6" s="7" t="inlineStr">
        <is>
          <t>Средний чек (заказ), с НДС</t>
        </is>
      </c>
      <c r="B6" s="11" t="n">
        <v>9.5</v>
      </c>
      <c r="C6" s="9" t="inlineStr">
        <is>
          <t>£</t>
        </is>
      </c>
      <c r="D6" s="10" t="inlineStr">
        <is>
          <t>Шаурма + напиток/допы. Премиальное позиционирование.</t>
        </is>
      </c>
    </row>
    <row r="7">
      <c r="A7" s="12" t="inlineStr">
        <is>
          <t>Ставка НДС (горячая еда навынос)</t>
        </is>
      </c>
      <c r="B7" s="13" t="n">
        <v>0.2</v>
      </c>
      <c r="C7" s="9" t="inlineStr"/>
      <c r="D7" s="10" t="inlineStr">
        <is>
          <t>HMRC VAT Notice 701/14 — стандартная ставка 20%.</t>
        </is>
      </c>
    </row>
    <row r="8">
      <c r="A8" s="12" t="inlineStr">
        <is>
          <t>Годовой рост (Год 2, Год 3)</t>
        </is>
      </c>
      <c r="B8" s="13" t="n">
        <v>0.05</v>
      </c>
      <c r="C8" s="9" t="inlineStr"/>
      <c r="D8" s="10" t="inlineStr">
        <is>
          <t>Инфляция цен/объёма для прогноза.</t>
        </is>
      </c>
    </row>
    <row r="10">
      <c r="A10" s="6" t="inlineStr">
        <is>
          <t>2. ПЕРСОНАЛ</t>
        </is>
      </c>
    </row>
    <row r="11">
      <c r="A11" s="12" t="inlineStr">
        <is>
          <t>Часы работы точки в день</t>
        </is>
      </c>
      <c r="B11" s="14" t="n">
        <v>12</v>
      </c>
      <c r="C11" s="9" t="inlineStr">
        <is>
          <t>ч</t>
        </is>
      </c>
      <c r="D11" s="10" t="inlineStr">
        <is>
          <t>Напр. 10:00–22:00.</t>
        </is>
      </c>
    </row>
    <row r="12">
      <c r="A12" s="12" t="inlineStr">
        <is>
          <t>Персонала одновременно (среднее)</t>
        </is>
      </c>
      <c r="B12" s="14" t="n">
        <v>1.6</v>
      </c>
      <c r="C12" s="9" t="inlineStr">
        <is>
          <t>чел</t>
        </is>
      </c>
      <c r="D12" s="10" t="inlineStr">
        <is>
          <t>1 в непик, 2 в пик.</t>
        </is>
      </c>
    </row>
    <row r="13">
      <c r="A13" s="12" t="inlineStr">
        <is>
          <t>Человеко-часов в день</t>
        </is>
      </c>
      <c r="B13" s="15">
        <f>B11*B12</f>
        <v/>
      </c>
      <c r="C13" s="9" t="inlineStr">
        <is>
          <t>ч</t>
        </is>
      </c>
      <c r="D13" s="10">
        <f> часы × персонал (расчёт).</f>
        <v/>
      </c>
    </row>
    <row r="14">
      <c r="A14" s="7" t="inlineStr">
        <is>
          <t>Ставка оплаты труда</t>
        </is>
      </c>
      <c r="B14" s="11" t="n">
        <v>12.71</v>
      </c>
      <c r="C14" s="9" t="inlineStr">
        <is>
          <t>£/ч</t>
        </is>
      </c>
      <c r="D14" s="10" t="inlineStr">
        <is>
          <t>National Living Wage 21+ с апр.2026. London Living Wage 14.80 (добров.).</t>
        </is>
      </c>
    </row>
    <row r="15">
      <c r="A15" s="12" t="inlineStr">
        <is>
          <t>Кол-во оформленных сотрудников</t>
        </is>
      </c>
      <c r="B15" s="14" t="n">
        <v>3</v>
      </c>
      <c r="C15" s="9" t="inlineStr">
        <is>
          <t>чел</t>
        </is>
      </c>
      <c r="D15" s="10" t="inlineStr">
        <is>
          <t>Для порогов NIC и пенсии (совместители).</t>
        </is>
      </c>
    </row>
    <row r="16">
      <c r="A16" s="12" t="inlineStr">
        <is>
          <t>Employer NIC (соц. взнос работодателя)</t>
        </is>
      </c>
      <c r="B16" s="13" t="n">
        <v>0.15</v>
      </c>
      <c r="C16" s="9" t="inlineStr"/>
      <c r="D16" s="10" t="inlineStr">
        <is>
          <t>15% сверх Secondary Threshold с 2025/26.</t>
        </is>
      </c>
    </row>
    <row r="17">
      <c r="A17" s="12" t="inlineStr">
        <is>
          <t>Secondary Threshold (порог NIC)</t>
        </is>
      </c>
      <c r="B17" s="16" t="n">
        <v>5000</v>
      </c>
      <c r="C17" s="9" t="inlineStr">
        <is>
          <t>£/год</t>
        </is>
      </c>
      <c r="D17" s="10" t="inlineStr">
        <is>
          <t>£5,000 на сотрудника (2025/26–2027/28).</t>
        </is>
      </c>
    </row>
    <row r="18">
      <c r="A18" s="12" t="inlineStr">
        <is>
          <t>Employment Allowance</t>
        </is>
      </c>
      <c r="B18" s="16" t="n">
        <v>10500</v>
      </c>
      <c r="C18" s="9" t="inlineStr">
        <is>
          <t>£/год</t>
        </is>
      </c>
      <c r="D18" s="10" t="inlineStr">
        <is>
          <t>Вычет из NIC работодателя, до £10,500.</t>
        </is>
      </c>
    </row>
    <row r="19">
      <c r="A19" s="12" t="inlineStr">
        <is>
          <t>Пенсия — взнос работодателя</t>
        </is>
      </c>
      <c r="B19" s="13" t="n">
        <v>0.03</v>
      </c>
      <c r="C19" s="9" t="inlineStr"/>
      <c r="D19" s="10" t="inlineStr">
        <is>
          <t>Auto-enrolment, минимум 3% работодателя.</t>
        </is>
      </c>
    </row>
    <row r="20">
      <c r="A20" s="12" t="inlineStr">
        <is>
          <t>Пенсия — нижний порог (qualifying)</t>
        </is>
      </c>
      <c r="B20" s="16" t="n">
        <v>6240</v>
      </c>
      <c r="C20" s="9" t="inlineStr">
        <is>
          <t>£/год</t>
        </is>
      </c>
      <c r="D20" s="10" t="inlineStr">
        <is>
          <t>Взносы на заработок сверх £6,240 (2026/27).</t>
        </is>
      </c>
    </row>
    <row r="22">
      <c r="A22" s="6" t="inlineStr">
        <is>
          <t>3. АРЕНДА И ЛИЦЕНЗИИ</t>
        </is>
      </c>
    </row>
    <row r="23">
      <c r="A23" s="7" t="inlineStr">
        <is>
          <t>Аренда места / pitch fee</t>
        </is>
      </c>
      <c r="B23" s="17" t="n">
        <v>2200</v>
      </c>
      <c r="C23" s="9" t="inlineStr">
        <is>
          <t>£/мес</t>
        </is>
      </c>
      <c r="D23" s="10" t="inlineStr">
        <is>
          <t>Street food London ~£2,000/мес; RBKC/Челси — премия.</t>
        </is>
      </c>
    </row>
    <row r="24">
      <c r="A24" s="12" t="inlineStr">
        <is>
          <t>Депозит (месяцев аренды)</t>
        </is>
      </c>
      <c r="B24" s="14" t="n">
        <v>2</v>
      </c>
      <c r="C24" s="9" t="inlineStr">
        <is>
          <t>мес</t>
        </is>
      </c>
      <c r="D24" s="10" t="inlineStr">
        <is>
          <t>Обычно 1–3 месяца.</t>
        </is>
      </c>
    </row>
    <row r="25">
      <c r="A25" s="12" t="inlineStr">
        <is>
          <t>Лицензия street trading (в год)</t>
        </is>
      </c>
      <c r="B25" s="16" t="n">
        <v>1200</v>
      </c>
      <c r="C25" s="9" t="inlineStr">
        <is>
          <t>£/год</t>
        </is>
      </c>
      <c r="D25" s="10" t="inlineStr">
        <is>
          <t>Заявка £96–£260 (горячая еда £260) + продление; RBKC.</t>
        </is>
      </c>
    </row>
    <row r="27">
      <c r="A27" s="6" t="inlineStr">
        <is>
          <t>4. ОПЕР. РАСХОДЫ (в месяц, £, без НДС)</t>
        </is>
      </c>
    </row>
    <row r="28">
      <c r="A28" s="12" t="inlineStr">
        <is>
          <t>Коммуналка (эл-во, газ, вода)</t>
        </is>
      </c>
      <c r="B28" s="16" t="n">
        <v>350</v>
      </c>
      <c r="C28" s="9" t="inlineStr">
        <is>
          <t>£/мес</t>
        </is>
      </c>
      <c r="D28" s="10" t="inlineStr">
        <is>
          <t>Оценка для малой точки.</t>
        </is>
      </c>
    </row>
    <row r="29">
      <c r="A29" s="12" t="inlineStr">
        <is>
          <t>POS / касса (подписка)</t>
        </is>
      </c>
      <c r="B29" s="16" t="n">
        <v>30</v>
      </c>
      <c r="C29" s="9" t="inlineStr">
        <is>
          <t>£/мес</t>
        </is>
      </c>
      <c r="D29" s="10" t="inlineStr">
        <is>
          <t>SumUp/Square/Zettle POS.</t>
        </is>
      </c>
    </row>
    <row r="30">
      <c r="A30" s="12" t="inlineStr">
        <is>
          <t>Эквайринг (комиссия, % от безнала)</t>
        </is>
      </c>
      <c r="B30" s="13" t="n">
        <v>0.016</v>
      </c>
      <c r="C30" s="9" t="inlineStr"/>
      <c r="D30" s="10" t="inlineStr">
        <is>
          <t>Dojo ~0.8–1.3%, Square/Zettle 1.75%.</t>
        </is>
      </c>
    </row>
    <row r="31">
      <c r="A31" s="12" t="inlineStr">
        <is>
          <t>Доля безналичных платежей</t>
        </is>
      </c>
      <c r="B31" s="13" t="n">
        <v>0.9</v>
      </c>
      <c r="C31" s="9" t="inlineStr"/>
      <c r="D31" s="10" t="inlineStr">
        <is>
          <t>Лондон — почти весь оборот картой.</t>
        </is>
      </c>
    </row>
    <row r="32">
      <c r="A32" s="12" t="inlineStr">
        <is>
          <t>Страхование</t>
        </is>
      </c>
      <c r="B32" s="16" t="n">
        <v>70</v>
      </c>
      <c r="C32" s="9" t="inlineStr">
        <is>
          <t>£/мес</t>
        </is>
      </c>
      <c r="D32" s="10" t="inlineStr">
        <is>
          <t>Public liability + оборудование.</t>
        </is>
      </c>
    </row>
    <row r="33">
      <c r="A33" s="12" t="inlineStr">
        <is>
          <t>Вывоз мусора / waste</t>
        </is>
      </c>
      <c r="B33" s="16" t="n">
        <v>120</v>
      </c>
      <c r="C33" s="9" t="inlineStr">
        <is>
          <t>£/мес</t>
        </is>
      </c>
      <c r="D33" s="10" t="inlineStr">
        <is>
          <t>Commercial waste contract.</t>
        </is>
      </c>
    </row>
    <row r="34">
      <c r="A34" s="12" t="inlineStr">
        <is>
          <t>Уборка / расходники</t>
        </is>
      </c>
      <c r="B34" s="16" t="n">
        <v>80</v>
      </c>
      <c r="C34" s="9" t="inlineStr">
        <is>
          <t>£/мес</t>
        </is>
      </c>
      <c r="D34" s="10" t="inlineStr">
        <is>
          <t>Химия, перчатки, санитария.</t>
        </is>
      </c>
    </row>
    <row r="35">
      <c r="A35" s="12" t="inlineStr">
        <is>
          <t>Маркетинг</t>
        </is>
      </c>
      <c r="B35" s="16" t="n">
        <v>200</v>
      </c>
      <c r="C35" s="9" t="inlineStr">
        <is>
          <t>£/мес</t>
        </is>
      </c>
      <c r="D35" s="10" t="inlineStr">
        <is>
          <t>Соцсети, промо, вывеска.</t>
        </is>
      </c>
    </row>
    <row r="36">
      <c r="A36" s="12" t="inlineStr">
        <is>
          <t>Бухгалтерия / accounting</t>
        </is>
      </c>
      <c r="B36" s="16" t="n">
        <v>200</v>
      </c>
      <c r="C36" s="9" t="inlineStr">
        <is>
          <t>£/мес</t>
        </is>
      </c>
      <c r="D36" s="10" t="inlineStr">
        <is>
          <t>Ltd отчётность, payroll, VAT returns.</t>
        </is>
      </c>
    </row>
    <row r="37">
      <c r="A37" s="12" t="inlineStr">
        <is>
          <t>Ремонт / обслуживание</t>
        </is>
      </c>
      <c r="B37" s="16" t="n">
        <v>100</v>
      </c>
      <c r="C37" s="9" t="inlineStr">
        <is>
          <t>£/мес</t>
        </is>
      </c>
      <c r="D37" s="10" t="inlineStr">
        <is>
          <t>Оборудование, ТО.</t>
        </is>
      </c>
    </row>
    <row r="38">
      <c r="A38" s="12" t="inlineStr">
        <is>
          <t>Прочее / непредвиденное</t>
        </is>
      </c>
      <c r="B38" s="16" t="n">
        <v>100</v>
      </c>
      <c r="C38" s="9" t="inlineStr">
        <is>
          <t>£/мес</t>
        </is>
      </c>
      <c r="D38" s="10" t="inlineStr">
        <is>
          <t>Буфер.</t>
        </is>
      </c>
    </row>
    <row r="40">
      <c r="A40" s="6" t="inlineStr">
        <is>
          <t>5. НАЛОГИ И АМОРТИЗАЦИЯ</t>
        </is>
      </c>
    </row>
    <row r="41">
      <c r="A41" s="12" t="inlineStr">
        <is>
          <t>Corporation tax (small profits)</t>
        </is>
      </c>
      <c r="B41" s="13" t="n">
        <v>0.19</v>
      </c>
      <c r="C41" s="9" t="inlineStr"/>
      <c r="D41" s="10" t="inlineStr">
        <is>
          <t>19% при прибыли ≤£50k; далее marginal relief до 25%.</t>
        </is>
      </c>
    </row>
    <row r="42">
      <c r="A42" s="12" t="inlineStr">
        <is>
          <t>Срок службы оборудования</t>
        </is>
      </c>
      <c r="B42" s="14" t="n">
        <v>5</v>
      </c>
      <c r="C42" s="9" t="inlineStr">
        <is>
          <t>лет</t>
        </is>
      </c>
      <c r="D42" s="10" t="inlineStr">
        <is>
          <t>Для амортизации CapEx.</t>
        </is>
      </c>
    </row>
    <row r="44">
      <c r="A44" s="6" t="inlineStr">
        <is>
          <t>6. ФИНАНСИРОВАНИЕ</t>
        </is>
      </c>
    </row>
    <row r="45">
      <c r="A45" s="7" t="inlineStr">
        <is>
          <t>Собственные средства (equity)</t>
        </is>
      </c>
      <c r="B45" s="17" t="n">
        <v>40000</v>
      </c>
      <c r="C45" s="9" t="inlineStr">
        <is>
          <t>£</t>
        </is>
      </c>
      <c r="D45" s="10" t="inlineStr">
        <is>
          <t>Вклад учредителей.</t>
        </is>
      </c>
    </row>
    <row r="46">
      <c r="A46" s="7" t="inlineStr">
        <is>
          <t>Кредит / займ</t>
        </is>
      </c>
      <c r="B46" s="17" t="n">
        <v>25000</v>
      </c>
      <c r="C46" s="9" t="inlineStr">
        <is>
          <t>£</t>
        </is>
      </c>
      <c r="D46" s="10" t="inlineStr">
        <is>
          <t>Банк/Start Up Loan.</t>
        </is>
      </c>
    </row>
    <row r="47">
      <c r="A47" s="12" t="inlineStr">
        <is>
          <t>Ставка по кредиту (годовая)</t>
        </is>
      </c>
      <c r="B47" s="13" t="n">
        <v>0.1</v>
      </c>
      <c r="C47" s="9" t="inlineStr"/>
      <c r="D47" s="10" t="inlineStr">
        <is>
          <t>Ориентир.</t>
        </is>
      </c>
    </row>
    <row r="48">
      <c r="A48" s="12" t="inlineStr">
        <is>
          <t>Срок кредита (лет)</t>
        </is>
      </c>
      <c r="B48" s="14" t="n">
        <v>3</v>
      </c>
      <c r="C48" s="9" t="inlineStr">
        <is>
          <t>лет</t>
        </is>
      </c>
      <c r="D48" s="10" t="inlineStr">
        <is>
          <t>Равномерное погашение тела; проценты убывают.</t>
        </is>
      </c>
    </row>
    <row r="49">
      <c r="A49" s="6" t="inlineStr">
        <is>
          <t>7. СПРАВОЧНО</t>
        </is>
      </c>
    </row>
    <row r="50">
      <c r="A50" s="12" t="inlineStr">
        <is>
          <t>Курс GBP/RUB (справочно)</t>
        </is>
      </c>
      <c r="B50" s="18" t="n">
        <v>105</v>
      </c>
      <c r="C50" s="9" t="inlineStr">
        <is>
          <t>₽/£</t>
        </is>
      </c>
      <c r="D50" s="10" t="inlineStr">
        <is>
          <t>Только для справки; уточнить на дату.</t>
        </is>
      </c>
    </row>
  </sheetData>
  <mergeCells count="8">
    <mergeCell ref="A1:D1"/>
    <mergeCell ref="A40:D40"/>
    <mergeCell ref="A27:D27"/>
    <mergeCell ref="A22:D22"/>
    <mergeCell ref="A4:D4"/>
    <mergeCell ref="A49:D49"/>
    <mergeCell ref="A10:D10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16" customWidth="1" min="4" max="4"/>
    <col width="14" customWidth="1" min="5" max="5"/>
    <col width="50" customWidth="1" min="6" max="6"/>
  </cols>
  <sheetData>
    <row r="1">
      <c r="A1" s="1" t="inlineStr">
        <is>
          <t>МЕНЮ И ФУДКОСТ — себестоимость 1 порции (опт, без НДС)</t>
        </is>
      </c>
    </row>
    <row r="2">
      <c r="A2" s="4" t="inlineStr">
        <is>
          <t>Оптовые цены (Booker/Bidfood, СНГ-поставщики). Уточнить котировки у поставщика.</t>
        </is>
      </c>
    </row>
    <row r="3">
      <c r="A3" s="5" t="inlineStr">
        <is>
          <t>Ингредиент</t>
        </is>
      </c>
      <c r="B3" s="5" t="inlineStr">
        <is>
          <t>Расход</t>
        </is>
      </c>
      <c r="C3" s="5" t="inlineStr">
        <is>
          <t>Ед.</t>
        </is>
      </c>
      <c r="D3" s="5" t="inlineStr">
        <is>
          <t>Цена опт (£/кг|£/шт)</t>
        </is>
      </c>
      <c r="E3" s="5" t="inlineStr">
        <is>
          <t>Стоимость, £</t>
        </is>
      </c>
      <c r="F3" s="5" t="inlineStr">
        <is>
          <t>Примечание / источник</t>
        </is>
      </c>
    </row>
    <row r="4">
      <c r="A4" s="12" t="inlineStr">
        <is>
          <t>Куриное филе (маринованное)</t>
        </is>
      </c>
      <c r="B4" s="19" t="n">
        <v>0.16</v>
      </c>
      <c r="C4" s="9" t="inlineStr">
        <is>
          <t>кг</t>
        </is>
      </c>
      <c r="D4" s="20" t="n">
        <v>7</v>
      </c>
      <c r="E4" s="21">
        <f>B4*D4</f>
        <v/>
      </c>
      <c r="F4" s="10" t="inlineStr">
        <is>
          <t>Опт грудка £6–£16.7/кг; берём средн. ~£7.</t>
        </is>
      </c>
    </row>
    <row r="5">
      <c r="A5" s="12" t="inlineStr">
        <is>
          <t>Армянский лаваш (лист)</t>
        </is>
      </c>
      <c r="B5" s="18" t="n">
        <v>1</v>
      </c>
      <c r="C5" s="9" t="inlineStr">
        <is>
          <t>шт</t>
        </is>
      </c>
      <c r="D5" s="20" t="n">
        <v>0.55</v>
      </c>
      <c r="E5" s="21">
        <f>B5*D5</f>
        <v/>
      </c>
      <c r="F5" s="10" t="inlineStr">
        <is>
          <t>СНГ-поставщики (Babushka/Jolly Grocer), опт.</t>
        </is>
      </c>
    </row>
    <row r="6">
      <c r="A6" s="12" t="inlineStr">
        <is>
          <t>Майонезный соус (майо+чеснок)</t>
        </is>
      </c>
      <c r="B6" s="19" t="n">
        <v>0.045</v>
      </c>
      <c r="C6" s="9" t="inlineStr">
        <is>
          <t>кг</t>
        </is>
      </c>
      <c r="D6" s="20" t="n">
        <v>4</v>
      </c>
      <c r="E6" s="21">
        <f>B6*D6</f>
        <v/>
      </c>
      <c r="F6" s="10" t="inlineStr">
        <is>
          <t>Майонез оптом + специи.</t>
        </is>
      </c>
    </row>
    <row r="7">
      <c r="A7" s="12" t="inlineStr">
        <is>
          <t>Томаты</t>
        </is>
      </c>
      <c r="B7" s="19" t="n">
        <v>0.045</v>
      </c>
      <c r="C7" s="9" t="inlineStr">
        <is>
          <t>кг</t>
        </is>
      </c>
      <c r="D7" s="20" t="n">
        <v>2.3</v>
      </c>
      <c r="E7" s="21">
        <f>B7*D7</f>
        <v/>
      </c>
      <c r="F7" s="10" t="inlineStr">
        <is>
          <t>Опт овощи.</t>
        </is>
      </c>
    </row>
    <row r="8">
      <c r="A8" s="12" t="inlineStr">
        <is>
          <t>Огурцы (свежие/маринов.)</t>
        </is>
      </c>
      <c r="B8" s="19" t="n">
        <v>0.035</v>
      </c>
      <c r="C8" s="9" t="inlineStr">
        <is>
          <t>кг</t>
        </is>
      </c>
      <c r="D8" s="20" t="n">
        <v>1.9</v>
      </c>
      <c r="E8" s="21">
        <f>B8*D8</f>
        <v/>
      </c>
      <c r="F8" s="10" t="inlineStr">
        <is>
          <t>Опт.</t>
        </is>
      </c>
    </row>
    <row r="9">
      <c r="A9" s="12" t="inlineStr">
        <is>
          <t>Капуста / салат</t>
        </is>
      </c>
      <c r="B9" s="19" t="n">
        <v>0.04</v>
      </c>
      <c r="C9" s="9" t="inlineStr">
        <is>
          <t>кг</t>
        </is>
      </c>
      <c r="D9" s="20" t="n">
        <v>1.3</v>
      </c>
      <c r="E9" s="21">
        <f>B9*D9</f>
        <v/>
      </c>
      <c r="F9" s="10" t="inlineStr">
        <is>
          <t>Опт.</t>
        </is>
      </c>
    </row>
    <row r="10">
      <c r="A10" s="12" t="inlineStr">
        <is>
          <t>Лук репчатый</t>
        </is>
      </c>
      <c r="B10" s="19" t="n">
        <v>0.02</v>
      </c>
      <c r="C10" s="9" t="inlineStr">
        <is>
          <t>кг</t>
        </is>
      </c>
      <c r="D10" s="20" t="n">
        <v>0.95</v>
      </c>
      <c r="E10" s="21">
        <f>B10*D10</f>
        <v/>
      </c>
      <c r="F10" s="10" t="inlineStr">
        <is>
          <t>Опт.</t>
        </is>
      </c>
    </row>
    <row r="11">
      <c r="A11" s="12" t="inlineStr">
        <is>
          <t>Морковь по-корейски</t>
        </is>
      </c>
      <c r="B11" s="19" t="n">
        <v>0.02</v>
      </c>
      <c r="C11" s="9" t="inlineStr">
        <is>
          <t>кг</t>
        </is>
      </c>
      <c r="D11" s="20" t="n">
        <v>3</v>
      </c>
      <c r="E11" s="21">
        <f>B11*D11</f>
        <v/>
      </c>
      <c r="F11" s="10" t="inlineStr">
        <is>
          <t>Готовый салат/заготовка.</t>
        </is>
      </c>
    </row>
    <row r="12">
      <c r="A12" s="12" t="inlineStr">
        <is>
          <t>Картофель фри (внутрь)</t>
        </is>
      </c>
      <c r="B12" s="19" t="n">
        <v>0.05</v>
      </c>
      <c r="C12" s="9" t="inlineStr">
        <is>
          <t>кг</t>
        </is>
      </c>
      <c r="D12" s="20" t="n">
        <v>1.4</v>
      </c>
      <c r="E12" s="21">
        <f>B12*D12</f>
        <v/>
      </c>
      <c r="F12" s="10" t="inlineStr">
        <is>
          <t>Замор. фри, опт (московский стиль).</t>
        </is>
      </c>
    </row>
    <row r="13">
      <c r="A13" s="12" t="inlineStr">
        <is>
          <t>Специи / масло / маринад</t>
        </is>
      </c>
      <c r="B13" s="18" t="n">
        <v>1</v>
      </c>
      <c r="C13" s="9" t="inlineStr">
        <is>
          <t>порц</t>
        </is>
      </c>
      <c r="D13" s="20" t="n">
        <v>0.12</v>
      </c>
      <c r="E13" s="21">
        <f>B13*D13</f>
        <v/>
      </c>
      <c r="F13" s="10" t="inlineStr">
        <is>
          <t>Усреднённо на порцию.</t>
        </is>
      </c>
    </row>
    <row r="14">
      <c r="A14" s="22" t="inlineStr">
        <is>
          <t>Итого ингредиенты (нетто)</t>
        </is>
      </c>
      <c r="E14" s="23">
        <f>SUM(E4:E13)</f>
        <v/>
      </c>
    </row>
    <row r="15">
      <c r="A15" s="12" t="inlineStr">
        <is>
          <t>Упаковка (обёртка/фольга/пакет/салфетка)</t>
        </is>
      </c>
      <c r="E15" s="20" t="n">
        <v>0.35</v>
      </c>
      <c r="F15" s="10" t="inlineStr">
        <is>
          <t>Стандартная ставка НДС (возмещается).</t>
        </is>
      </c>
    </row>
    <row r="16">
      <c r="A16" s="22" t="inlineStr">
        <is>
          <t>Себестоимость шаурмы (с упаковкой)</t>
        </is>
      </c>
      <c r="E16" s="23">
        <f>E14+E15</f>
        <v/>
      </c>
    </row>
    <row r="18">
      <c r="A18" s="6" t="inlineStr">
        <is>
          <t>НАПИТКИ / ДОПЫ</t>
        </is>
      </c>
      <c r="B18" s="24" t="n"/>
      <c r="C18" s="24" t="n"/>
      <c r="D18" s="24" t="n"/>
      <c r="E18" s="24" t="n"/>
      <c r="F18" s="25" t="n"/>
    </row>
    <row r="19">
      <c r="A19" s="12" t="inlineStr">
        <is>
          <t>Себестоимость напитка (банка/бутылка)</t>
        </is>
      </c>
      <c r="E19" s="20" t="n">
        <v>0.45</v>
      </c>
    </row>
    <row r="20">
      <c r="A20" s="12" t="inlineStr">
        <is>
          <t>Доля заказов с напитком (attach)</t>
        </is>
      </c>
      <c r="E20" s="13" t="n">
        <v>0.35</v>
      </c>
    </row>
    <row r="21">
      <c r="A21" s="12" t="inlineStr">
        <is>
          <t>Средняя себест. напитка на заказ</t>
        </is>
      </c>
      <c r="E21" s="21">
        <f>E19*E20</f>
        <v/>
      </c>
    </row>
    <row r="23">
      <c r="A23" s="26" t="inlineStr">
        <is>
          <t>СРЕДНЯЯ СЕБЕСТОИМОСТЬ ЗАКАЗА (нетто)</t>
        </is>
      </c>
      <c r="E23" s="27">
        <f>E16+E21</f>
        <v/>
      </c>
    </row>
    <row r="24">
      <c r="A24" s="12" t="inlineStr">
        <is>
          <t>Средний чек заказа, нетто (без НДС)</t>
        </is>
      </c>
      <c r="E24" s="28">
        <f>'Допущения'!$B$6/(1+'Допущения'!$B$7)</f>
        <v/>
      </c>
    </row>
    <row r="25">
      <c r="A25" s="7" t="inlineStr">
        <is>
          <t>Food cost, % от чека (нетто)</t>
        </is>
      </c>
      <c r="E25" s="29">
        <f>'Меню и фудкост'!E23/E24</f>
        <v/>
      </c>
    </row>
    <row r="26">
      <c r="A26" s="22" t="inlineStr">
        <is>
          <t>Маржинальный доход на заказ, нетто</t>
        </is>
      </c>
      <c r="E26" s="23">
        <f>E24-'Меню и фудкост'!E23</f>
        <v/>
      </c>
    </row>
  </sheetData>
  <mergeCells count="2">
    <mergeCell ref="A1:F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ВЫРУЧКА — помесячно, Год 1</t>
        </is>
      </c>
    </row>
    <row r="2">
      <c r="A2" s="4" t="inlineStr">
        <is>
          <t>Порций/день = база × сезонность. Синие ячейки — вводные.</t>
        </is>
      </c>
    </row>
    <row r="3">
      <c r="A3" s="5" t="inlineStr">
        <is>
          <t>Показатель</t>
        </is>
      </c>
      <c r="C3" s="5" t="inlineStr">
        <is>
          <t>Янв</t>
        </is>
      </c>
      <c r="D3" s="5" t="inlineStr">
        <is>
          <t>Фев</t>
        </is>
      </c>
      <c r="E3" s="5" t="inlineStr">
        <is>
          <t>Мар</t>
        </is>
      </c>
      <c r="F3" s="5" t="inlineStr">
        <is>
          <t>Апр</t>
        </is>
      </c>
      <c r="G3" s="5" t="inlineStr">
        <is>
          <t>Май</t>
        </is>
      </c>
      <c r="H3" s="5" t="inlineStr">
        <is>
          <t>Июн</t>
        </is>
      </c>
      <c r="I3" s="5" t="inlineStr">
        <is>
          <t>Июл</t>
        </is>
      </c>
      <c r="J3" s="5" t="inlineStr">
        <is>
          <t>Авг</t>
        </is>
      </c>
      <c r="K3" s="5" t="inlineStr">
        <is>
          <t>Сен</t>
        </is>
      </c>
      <c r="L3" s="5" t="inlineStr">
        <is>
          <t>Окт</t>
        </is>
      </c>
      <c r="M3" s="5" t="inlineStr">
        <is>
          <t>Ноя</t>
        </is>
      </c>
      <c r="N3" s="5" t="inlineStr">
        <is>
          <t>Дек</t>
        </is>
      </c>
      <c r="O3" s="5" t="inlineStr">
        <is>
          <t>Год</t>
        </is>
      </c>
    </row>
    <row r="4">
      <c r="A4" s="12" t="inlineStr">
        <is>
          <t>Рабочих дней</t>
        </is>
      </c>
      <c r="C4" s="18" t="n">
        <v>26</v>
      </c>
      <c r="D4" s="18" t="n">
        <v>25</v>
      </c>
      <c r="E4" s="18" t="n">
        <v>28</v>
      </c>
      <c r="F4" s="18" t="n">
        <v>28</v>
      </c>
      <c r="G4" s="18" t="n">
        <v>29</v>
      </c>
      <c r="H4" s="18" t="n">
        <v>28</v>
      </c>
      <c r="I4" s="18" t="n">
        <v>29</v>
      </c>
      <c r="J4" s="18" t="n">
        <v>29</v>
      </c>
      <c r="K4" s="18" t="n">
        <v>28</v>
      </c>
      <c r="L4" s="18" t="n">
        <v>29</v>
      </c>
      <c r="M4" s="18" t="n">
        <v>27</v>
      </c>
      <c r="N4" s="18" t="n">
        <v>26</v>
      </c>
      <c r="O4" s="30">
        <f>SUM(C4:N4)</f>
        <v/>
      </c>
    </row>
    <row r="5">
      <c r="A5" s="12" t="inlineStr">
        <is>
          <t>Сезонный коэффициент</t>
        </is>
      </c>
      <c r="C5" s="19" t="n">
        <v>0.85</v>
      </c>
      <c r="D5" s="19" t="n">
        <v>0.85</v>
      </c>
      <c r="E5" s="19" t="n">
        <v>0.95</v>
      </c>
      <c r="F5" s="19" t="n">
        <v>1</v>
      </c>
      <c r="G5" s="19" t="n">
        <v>1.05</v>
      </c>
      <c r="H5" s="19" t="n">
        <v>1.1</v>
      </c>
      <c r="I5" s="19" t="n">
        <v>1.15</v>
      </c>
      <c r="J5" s="19" t="n">
        <v>1.15</v>
      </c>
      <c r="K5" s="19" t="n">
        <v>1.05</v>
      </c>
      <c r="L5" s="19" t="n">
        <v>1</v>
      </c>
      <c r="M5" s="19" t="n">
        <v>0.9</v>
      </c>
      <c r="N5" s="19" t="n">
        <v>0.95</v>
      </c>
      <c r="O5" s="15">
        <f>AVERAGE(C5:N5)</f>
        <v/>
      </c>
    </row>
    <row r="6">
      <c r="A6" s="12" t="inlineStr">
        <is>
          <t>Порций/день</t>
        </is>
      </c>
      <c r="C6" s="31">
        <f>'Допущения'!$B$5*C5</f>
        <v/>
      </c>
      <c r="D6" s="31">
        <f>'Допущения'!$B$5*D5</f>
        <v/>
      </c>
      <c r="E6" s="31">
        <f>'Допущения'!$B$5*E5</f>
        <v/>
      </c>
      <c r="F6" s="31">
        <f>'Допущения'!$B$5*F5</f>
        <v/>
      </c>
      <c r="G6" s="31">
        <f>'Допущения'!$B$5*G5</f>
        <v/>
      </c>
      <c r="H6" s="31">
        <f>'Допущения'!$B$5*H5</f>
        <v/>
      </c>
      <c r="I6" s="31">
        <f>'Допущения'!$B$5*I5</f>
        <v/>
      </c>
      <c r="J6" s="31">
        <f>'Допущения'!$B$5*J5</f>
        <v/>
      </c>
      <c r="K6" s="31">
        <f>'Допущения'!$B$5*K5</f>
        <v/>
      </c>
      <c r="L6" s="31">
        <f>'Допущения'!$B$5*L5</f>
        <v/>
      </c>
      <c r="M6" s="31">
        <f>'Допущения'!$B$5*M5</f>
        <v/>
      </c>
      <c r="N6" s="31">
        <f>'Допущения'!$B$5*N5</f>
        <v/>
      </c>
      <c r="O6" s="30">
        <f>AVERAGE(C6:N6)</f>
        <v/>
      </c>
    </row>
    <row r="7">
      <c r="A7" s="12" t="inlineStr">
        <is>
          <t>Порций в месяц</t>
        </is>
      </c>
      <c r="C7" s="30">
        <f>C6*C4</f>
        <v/>
      </c>
      <c r="D7" s="30">
        <f>D6*D4</f>
        <v/>
      </c>
      <c r="E7" s="30">
        <f>E6*E4</f>
        <v/>
      </c>
      <c r="F7" s="30">
        <f>F6*F4</f>
        <v/>
      </c>
      <c r="G7" s="30">
        <f>G6*G4</f>
        <v/>
      </c>
      <c r="H7" s="30">
        <f>H6*H4</f>
        <v/>
      </c>
      <c r="I7" s="30">
        <f>I6*I4</f>
        <v/>
      </c>
      <c r="J7" s="30">
        <f>J6*J4</f>
        <v/>
      </c>
      <c r="K7" s="30">
        <f>K6*K4</f>
        <v/>
      </c>
      <c r="L7" s="30">
        <f>L6*L4</f>
        <v/>
      </c>
      <c r="M7" s="30">
        <f>M6*M4</f>
        <v/>
      </c>
      <c r="N7" s="30">
        <f>N6*N4</f>
        <v/>
      </c>
      <c r="O7" s="32">
        <f>SUM(C7:N7)</f>
        <v/>
      </c>
    </row>
    <row r="8">
      <c r="A8" s="12" t="inlineStr">
        <is>
          <t>Средний чек, с НДС</t>
        </is>
      </c>
      <c r="C8" s="28">
        <f>'Допущения'!$B$6</f>
        <v/>
      </c>
      <c r="D8" s="28">
        <f>'Допущения'!$B$6</f>
        <v/>
      </c>
      <c r="E8" s="28">
        <f>'Допущения'!$B$6</f>
        <v/>
      </c>
      <c r="F8" s="28">
        <f>'Допущения'!$B$6</f>
        <v/>
      </c>
      <c r="G8" s="28">
        <f>'Допущения'!$B$6</f>
        <v/>
      </c>
      <c r="H8" s="28">
        <f>'Допущения'!$B$6</f>
        <v/>
      </c>
      <c r="I8" s="28">
        <f>'Допущения'!$B$6</f>
        <v/>
      </c>
      <c r="J8" s="28">
        <f>'Допущения'!$B$6</f>
        <v/>
      </c>
      <c r="K8" s="28">
        <f>'Допущения'!$B$6</f>
        <v/>
      </c>
      <c r="L8" s="28">
        <f>'Допущения'!$B$6</f>
        <v/>
      </c>
      <c r="M8" s="28">
        <f>'Допущения'!$B$6</f>
        <v/>
      </c>
      <c r="N8" s="28">
        <f>'Допущения'!$B$6</f>
        <v/>
      </c>
      <c r="O8" s="28">
        <f>'Допущения'!$B$6</f>
        <v/>
      </c>
    </row>
    <row r="9">
      <c r="A9" s="7" t="inlineStr">
        <is>
          <t>Выручка брутто (с НДС)</t>
        </is>
      </c>
      <c r="C9" s="33">
        <f>C7*C8</f>
        <v/>
      </c>
      <c r="D9" s="33">
        <f>D7*D8</f>
        <v/>
      </c>
      <c r="E9" s="33">
        <f>E7*E8</f>
        <v/>
      </c>
      <c r="F9" s="33">
        <f>F7*F8</f>
        <v/>
      </c>
      <c r="G9" s="33">
        <f>G7*G8</f>
        <v/>
      </c>
      <c r="H9" s="33">
        <f>H7*H8</f>
        <v/>
      </c>
      <c r="I9" s="33">
        <f>I7*I8</f>
        <v/>
      </c>
      <c r="J9" s="33">
        <f>J7*J8</f>
        <v/>
      </c>
      <c r="K9" s="33">
        <f>K7*K8</f>
        <v/>
      </c>
      <c r="L9" s="33">
        <f>L7*L8</f>
        <v/>
      </c>
      <c r="M9" s="33">
        <f>M7*M8</f>
        <v/>
      </c>
      <c r="N9" s="33">
        <f>N7*N8</f>
        <v/>
      </c>
      <c r="O9" s="34">
        <f>SUM(C9:N9)</f>
        <v/>
      </c>
    </row>
    <row r="10">
      <c r="A10" s="12" t="inlineStr">
        <is>
          <t>НДС с продаж (20%)</t>
        </is>
      </c>
      <c r="C10" s="33">
        <f>C9*'Допущения'!$B$7/(1+'Допущения'!$B$7)</f>
        <v/>
      </c>
      <c r="D10" s="33">
        <f>D9*'Допущения'!$B$7/(1+'Допущения'!$B$7)</f>
        <v/>
      </c>
      <c r="E10" s="33">
        <f>E9*'Допущения'!$B$7/(1+'Допущения'!$B$7)</f>
        <v/>
      </c>
      <c r="F10" s="33">
        <f>F9*'Допущения'!$B$7/(1+'Допущения'!$B$7)</f>
        <v/>
      </c>
      <c r="G10" s="33">
        <f>G9*'Допущения'!$B$7/(1+'Допущения'!$B$7)</f>
        <v/>
      </c>
      <c r="H10" s="33">
        <f>H9*'Допущения'!$B$7/(1+'Допущения'!$B$7)</f>
        <v/>
      </c>
      <c r="I10" s="33">
        <f>I9*'Допущения'!$B$7/(1+'Допущения'!$B$7)</f>
        <v/>
      </c>
      <c r="J10" s="33">
        <f>J9*'Допущения'!$B$7/(1+'Допущения'!$B$7)</f>
        <v/>
      </c>
      <c r="K10" s="33">
        <f>K9*'Допущения'!$B$7/(1+'Допущения'!$B$7)</f>
        <v/>
      </c>
      <c r="L10" s="33">
        <f>L9*'Допущения'!$B$7/(1+'Допущения'!$B$7)</f>
        <v/>
      </c>
      <c r="M10" s="33">
        <f>M9*'Допущения'!$B$7/(1+'Допущения'!$B$7)</f>
        <v/>
      </c>
      <c r="N10" s="33">
        <f>N9*'Допущения'!$B$7/(1+'Допущения'!$B$7)</f>
        <v/>
      </c>
      <c r="O10" s="33">
        <f>SUM(C10:N10)</f>
        <v/>
      </c>
    </row>
    <row r="11">
      <c r="A11" s="7" t="inlineStr">
        <is>
          <t>Выручка нетто (без НДС)</t>
        </is>
      </c>
      <c r="C11" s="33">
        <f>C9-C10</f>
        <v/>
      </c>
      <c r="D11" s="33">
        <f>D9-D10</f>
        <v/>
      </c>
      <c r="E11" s="33">
        <f>E9-E10</f>
        <v/>
      </c>
      <c r="F11" s="33">
        <f>F9-F10</f>
        <v/>
      </c>
      <c r="G11" s="33">
        <f>G9-G10</f>
        <v/>
      </c>
      <c r="H11" s="33">
        <f>H9-H10</f>
        <v/>
      </c>
      <c r="I11" s="33">
        <f>I9-I10</f>
        <v/>
      </c>
      <c r="J11" s="33">
        <f>J9-J10</f>
        <v/>
      </c>
      <c r="K11" s="33">
        <f>K9-K10</f>
        <v/>
      </c>
      <c r="L11" s="33">
        <f>L9-L10</f>
        <v/>
      </c>
      <c r="M11" s="33">
        <f>M9-M10</f>
        <v/>
      </c>
      <c r="N11" s="33">
        <f>N9-N10</f>
        <v/>
      </c>
      <c r="O11" s="34">
        <f>SUM(C11:N11)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2" customWidth="1" min="3" max="3"/>
  </cols>
  <sheetData>
    <row r="1">
      <c r="A1" s="1" t="inlineStr">
        <is>
          <t>ПЕРСОНАЛ И ФОТ (Год 1)</t>
        </is>
      </c>
    </row>
    <row r="2">
      <c r="A2" s="5" t="inlineStr">
        <is>
          <t>Показатель</t>
        </is>
      </c>
      <c r="B2" s="5" t="inlineStr">
        <is>
          <t>Значение</t>
        </is>
      </c>
      <c r="C2" s="5" t="inlineStr">
        <is>
          <t>Комментарий</t>
        </is>
      </c>
    </row>
    <row r="3">
      <c r="A3" s="12" t="inlineStr">
        <is>
          <t>Человеко-часов в день</t>
        </is>
      </c>
      <c r="B3" s="35">
        <f>'Допущения'!$B$13</f>
        <v/>
      </c>
      <c r="C3" s="10" t="inlineStr">
        <is>
          <t>Из «Допущений».</t>
        </is>
      </c>
    </row>
    <row r="4">
      <c r="A4" s="12" t="inlineStr">
        <is>
          <t>Рабочих дней в году</t>
        </is>
      </c>
      <c r="B4" s="31">
        <f>'Выручка'!$O$4</f>
        <v/>
      </c>
      <c r="C4" s="10" t="inlineStr">
        <is>
          <t>Сумма по «Выручке».</t>
        </is>
      </c>
    </row>
    <row r="5">
      <c r="A5" s="12" t="inlineStr">
        <is>
          <t>Человеко-часов в год</t>
        </is>
      </c>
      <c r="B5" s="30">
        <f>B3*B4</f>
        <v/>
      </c>
      <c r="C5" s="10">
        <f> часы/день × дней.</f>
        <v/>
      </c>
    </row>
    <row r="6">
      <c r="A6" s="12" t="inlineStr">
        <is>
          <t>Ставка оплаты, £/ч</t>
        </is>
      </c>
      <c r="B6" s="28">
        <f>'Допущения'!$B$14</f>
        <v/>
      </c>
      <c r="C6" s="10" t="inlineStr">
        <is>
          <t>NLW 21+ 2026.</t>
        </is>
      </c>
    </row>
    <row r="7">
      <c r="A7" s="22" t="inlineStr">
        <is>
          <t>Годовой ФОТ (gross)</t>
        </is>
      </c>
      <c r="B7" s="36">
        <f>B5*B6</f>
        <v/>
      </c>
      <c r="C7" s="10" t="inlineStr">
        <is>
          <t>Фонд оплаты труда, брутто.</t>
        </is>
      </c>
    </row>
    <row r="8">
      <c r="A8" s="12" t="inlineStr">
        <is>
          <t>— порог NIC суммарно</t>
        </is>
      </c>
      <c r="B8" s="37">
        <f>'Допущения'!$B$17*'Допущения'!$B$15</f>
        <v/>
      </c>
      <c r="C8" s="10" t="inlineStr">
        <is>
          <t>ST × число сотрудников.</t>
        </is>
      </c>
    </row>
    <row r="9">
      <c r="A9" s="12" t="inlineStr">
        <is>
          <t>Employer NIC (до вычета)</t>
        </is>
      </c>
      <c r="B9" s="33">
        <f>MAX(0,B7-B8)*'Допущения'!$B$16</f>
        <v/>
      </c>
      <c r="C9" s="10" t="inlineStr">
        <is>
          <t>15% сверх порога.</t>
        </is>
      </c>
    </row>
    <row r="10">
      <c r="A10" s="12" t="inlineStr">
        <is>
          <t>Employment Allowance</t>
        </is>
      </c>
      <c r="B10" s="37">
        <f>MIN(B9,'Допущения'!$B$18)</f>
        <v/>
      </c>
      <c r="C10" s="10" t="inlineStr">
        <is>
          <t>Вычет из NIC (до £10,500).</t>
        </is>
      </c>
    </row>
    <row r="11">
      <c r="A11" s="22" t="inlineStr">
        <is>
          <t>Employer NIC к уплате</t>
        </is>
      </c>
      <c r="B11" s="36">
        <f>B9-B10</f>
        <v/>
      </c>
      <c r="C11" s="10" t="inlineStr">
        <is>
          <t>NIC после вычета.</t>
        </is>
      </c>
    </row>
    <row r="12">
      <c r="A12" s="12" t="inlineStr">
        <is>
          <t>— порог пенсии суммарно</t>
        </is>
      </c>
      <c r="B12" s="37">
        <f>'Допущения'!$B$20*'Допущения'!$B$15</f>
        <v/>
      </c>
      <c r="C12" s="10" t="inlineStr">
        <is>
          <t>Нижний порог × сотрудников.</t>
        </is>
      </c>
    </row>
    <row r="13">
      <c r="A13" s="12" t="inlineStr">
        <is>
          <t>Пенсионные взносы работодателя</t>
        </is>
      </c>
      <c r="B13" s="33">
        <f>MAX(0,B7-B12)*'Допущения'!$B$19</f>
        <v/>
      </c>
      <c r="C13" s="10" t="inlineStr">
        <is>
          <t>3% на qualifying earnings.</t>
        </is>
      </c>
    </row>
    <row r="14">
      <c r="A14" s="22" t="inlineStr">
        <is>
          <t>ИТОГО расходы на персонал</t>
        </is>
      </c>
      <c r="B14" s="36">
        <f>B7+B11+B13</f>
        <v/>
      </c>
      <c r="C14" s="10" t="inlineStr">
        <is>
          <t>ФОТ + NIC + пенсия.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46" customWidth="1" min="4" max="4"/>
  </cols>
  <sheetData>
    <row r="1">
      <c r="A1" s="1" t="inlineStr">
        <is>
          <t>ОПЕР. РАСХОДЫ — годовые (Год 1), без НДС</t>
        </is>
      </c>
    </row>
    <row r="2">
      <c r="A2" s="5" t="inlineStr">
        <is>
          <t>Статья</t>
        </is>
      </c>
      <c r="B2" s="5" t="inlineStr">
        <is>
          <t>В месяц</t>
        </is>
      </c>
      <c r="C2" s="5" t="inlineStr">
        <is>
          <t>В год</t>
        </is>
      </c>
      <c r="D2" s="5" t="inlineStr">
        <is>
          <t>Комментарий</t>
        </is>
      </c>
    </row>
    <row r="3">
      <c r="A3" s="12" t="inlineStr">
        <is>
          <t>Аренда места / pitch</t>
        </is>
      </c>
      <c r="B3" s="37">
        <f>'Допущения'!$B$23</f>
        <v/>
      </c>
      <c r="C3" s="33">
        <f>B3*12</f>
        <v/>
      </c>
      <c r="D3" s="10" t="inlineStr">
        <is>
          <t>Ежемесячная аренда/pitch fee.</t>
        </is>
      </c>
    </row>
    <row r="4">
      <c r="A4" s="12" t="inlineStr">
        <is>
          <t>Лицензия street trading</t>
        </is>
      </c>
      <c r="B4" s="37">
        <f>'Допущения'!$B$25/12</f>
        <v/>
      </c>
      <c r="C4" s="37">
        <f>'Допущения'!$B$25</f>
        <v/>
      </c>
      <c r="D4" s="10" t="inlineStr">
        <is>
          <t>Годовая лицензия / продление.</t>
        </is>
      </c>
    </row>
    <row r="5">
      <c r="A5" s="12" t="inlineStr">
        <is>
          <t>Коммуналка</t>
        </is>
      </c>
      <c r="B5" s="37">
        <f>'Допущения'!$B$28</f>
        <v/>
      </c>
      <c r="C5" s="33">
        <f>B5*12</f>
        <v/>
      </c>
      <c r="D5" s="10" t="inlineStr">
        <is>
          <t>Эл-во, газ, вода.</t>
        </is>
      </c>
    </row>
    <row r="6">
      <c r="A6" s="12" t="inlineStr">
        <is>
          <t>POS / касса</t>
        </is>
      </c>
      <c r="B6" s="37">
        <f>'Допущения'!$B$29</f>
        <v/>
      </c>
      <c r="C6" s="33">
        <f>B6*12</f>
        <v/>
      </c>
      <c r="D6" s="10" t="inlineStr">
        <is>
          <t>Подписка POS.</t>
        </is>
      </c>
    </row>
    <row r="7">
      <c r="A7" s="12" t="inlineStr">
        <is>
          <t>Эквайринг (комиссия)</t>
        </is>
      </c>
      <c r="B7" s="33">
        <f>C7/12</f>
        <v/>
      </c>
      <c r="C7" s="37">
        <f>'Выручка'!$O$9*'Допущения'!$B$31*'Допущения'!$B$30</f>
        <v/>
      </c>
      <c r="D7" s="10" t="inlineStr">
        <is>
          <t>Брутто-оборот × доля безнала × комиссия.</t>
        </is>
      </c>
    </row>
    <row r="8">
      <c r="A8" s="12" t="inlineStr">
        <is>
          <t>Страхование</t>
        </is>
      </c>
      <c r="B8" s="37">
        <f>'Допущения'!$B$32</f>
        <v/>
      </c>
      <c r="C8" s="33">
        <f>B8*12</f>
        <v/>
      </c>
      <c r="D8" s="10" t="inlineStr">
        <is>
          <t>Public liability + оборудование.</t>
        </is>
      </c>
    </row>
    <row r="9">
      <c r="A9" s="12" t="inlineStr">
        <is>
          <t>Вывоз мусора / waste</t>
        </is>
      </c>
      <c r="B9" s="37">
        <f>'Допущения'!$B$33</f>
        <v/>
      </c>
      <c r="C9" s="33">
        <f>B9*12</f>
        <v/>
      </c>
      <c r="D9" s="10" t="inlineStr">
        <is>
          <t>Commercial waste.</t>
        </is>
      </c>
    </row>
    <row r="10">
      <c r="A10" s="12" t="inlineStr">
        <is>
          <t>Уборка / расходники</t>
        </is>
      </c>
      <c r="B10" s="37">
        <f>'Допущения'!$B$34</f>
        <v/>
      </c>
      <c r="C10" s="33">
        <f>B10*12</f>
        <v/>
      </c>
      <c r="D10" s="10" t="inlineStr">
        <is>
          <t>Санитария, расходники.</t>
        </is>
      </c>
    </row>
    <row r="11">
      <c r="A11" s="12" t="inlineStr">
        <is>
          <t>Маркетинг</t>
        </is>
      </c>
      <c r="B11" s="37">
        <f>'Допущения'!$B$35</f>
        <v/>
      </c>
      <c r="C11" s="33">
        <f>B11*12</f>
        <v/>
      </c>
      <c r="D11" s="10" t="inlineStr">
        <is>
          <t>Промо, соцсети.</t>
        </is>
      </c>
    </row>
    <row r="12">
      <c r="A12" s="12" t="inlineStr">
        <is>
          <t>Бухгалтерия</t>
        </is>
      </c>
      <c r="B12" s="37">
        <f>'Допущения'!$B$36</f>
        <v/>
      </c>
      <c r="C12" s="33">
        <f>B12*12</f>
        <v/>
      </c>
      <c r="D12" s="10" t="inlineStr">
        <is>
          <t>Отчётность, payroll, VAT.</t>
        </is>
      </c>
    </row>
    <row r="13">
      <c r="A13" s="12" t="inlineStr">
        <is>
          <t>Ремонт / обслуживание</t>
        </is>
      </c>
      <c r="B13" s="37">
        <f>'Допущения'!$B$37</f>
        <v/>
      </c>
      <c r="C13" s="33">
        <f>B13*12</f>
        <v/>
      </c>
      <c r="D13" s="10" t="inlineStr">
        <is>
          <t>ТО оборудования.</t>
        </is>
      </c>
    </row>
    <row r="14">
      <c r="A14" s="12" t="inlineStr">
        <is>
          <t>Прочее</t>
        </is>
      </c>
      <c r="B14" s="37">
        <f>'Допущения'!$B$38</f>
        <v/>
      </c>
      <c r="C14" s="33">
        <f>B14*12</f>
        <v/>
      </c>
      <c r="D14" s="10" t="inlineStr">
        <is>
          <t>Буфер.</t>
        </is>
      </c>
    </row>
    <row r="15">
      <c r="A15" s="22" t="inlineStr">
        <is>
          <t>ИТОГО опер. расходы</t>
        </is>
      </c>
      <c r="B15" s="34">
        <f>SUM(B3:B14)</f>
        <v/>
      </c>
      <c r="C15" s="34">
        <f>SUM(C3:C14)</f>
        <v/>
      </c>
    </row>
    <row r="17">
      <c r="A17" s="7" t="inlineStr">
        <is>
          <t>Справочно: база вход. НДС (станд. ставка)</t>
        </is>
      </c>
      <c r="B17" s="38" t="inlineStr"/>
      <c r="C17" s="33">
        <f>C5+C6+C7+C9+C10+C11+C12+C13+C14+'Меню и фудкост'!E15*'Выручка'!$O$7</f>
        <v/>
      </c>
      <c r="D17" s="10" t="inlineStr">
        <is>
          <t>Аренда/страхование/лицензия — без вход. НДС (exempt/вне НДС).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44" customWidth="1" min="4" max="4"/>
  </cols>
  <sheetData>
    <row r="1">
      <c r="A1" s="1" t="inlineStr">
        <is>
          <t>СТАРТОВЫЕ ВЛОЖЕНИЯ (CapEx) И ФИНАНСИРОВАНИЕ</t>
        </is>
      </c>
    </row>
    <row r="2">
      <c r="A2" s="5" t="inlineStr">
        <is>
          <t>Статья</t>
        </is>
      </c>
      <c r="B2" s="5" t="inlineStr">
        <is>
          <t>Сумма, £</t>
        </is>
      </c>
      <c r="C2" s="5" t="inlineStr">
        <is>
          <t>Аморт.?</t>
        </is>
      </c>
      <c r="D2" s="5" t="inlineStr">
        <is>
          <t>Комментарий</t>
        </is>
      </c>
    </row>
    <row r="3">
      <c r="A3" s="12" t="inlineStr">
        <is>
          <t>Киоск / контейнер (покупка/переоборуд.)</t>
        </is>
      </c>
      <c r="B3" s="16" t="n">
        <v>25000</v>
      </c>
      <c r="C3" s="9" t="inlineStr">
        <is>
          <t>да</t>
        </is>
      </c>
      <c r="D3" s="10" t="inlineStr">
        <is>
          <t>Основной актив.</t>
        </is>
      </c>
    </row>
    <row r="4">
      <c r="A4" s="12" t="inlineStr">
        <is>
          <t>Оборудование (гриль-шаурма, холод., витрина, фритюр)</t>
        </is>
      </c>
      <c r="B4" s="16" t="n">
        <v>12000</v>
      </c>
      <c r="C4" s="9" t="inlineStr">
        <is>
          <t>да</t>
        </is>
      </c>
      <c r="D4" s="10" t="inlineStr">
        <is>
          <t>Кухонное оборудование.</t>
        </is>
      </c>
    </row>
    <row r="5">
      <c r="A5" s="12" t="inlineStr">
        <is>
          <t>Мелкое оборудование / инвентарь</t>
        </is>
      </c>
      <c r="B5" s="16" t="n">
        <v>2500</v>
      </c>
      <c r="C5" s="9" t="inlineStr">
        <is>
          <t>да</t>
        </is>
      </c>
      <c r="D5" s="10" t="inlineStr">
        <is>
          <t>Ножи, доски, посуда.</t>
        </is>
      </c>
    </row>
    <row r="6">
      <c r="A6" s="12" t="inlineStr">
        <is>
          <t>Вывеска / брендинг</t>
        </is>
      </c>
      <c r="B6" s="16" t="n">
        <v>3000</v>
      </c>
      <c r="C6" s="9" t="inlineStr">
        <is>
          <t>да</t>
        </is>
      </c>
      <c r="D6" s="10" t="inlineStr">
        <is>
          <t>Оформление точки.</t>
        </is>
      </c>
    </row>
    <row r="7">
      <c r="A7" s="12" t="inlineStr">
        <is>
          <t>Ремонт / подготовка места</t>
        </is>
      </c>
      <c r="B7" s="16" t="n">
        <v>4000</v>
      </c>
      <c r="C7" s="9" t="inlineStr">
        <is>
          <t>нет</t>
        </is>
      </c>
      <c r="D7" s="10" t="inlineStr">
        <is>
          <t>Fit-out, подключения.</t>
        </is>
      </c>
    </row>
    <row r="8">
      <c r="A8" s="12" t="inlineStr">
        <is>
          <t>Первичные лицензии / регистрация</t>
        </is>
      </c>
      <c r="B8" s="16" t="n">
        <v>1000</v>
      </c>
      <c r="C8" s="9" t="inlineStr">
        <is>
          <t>нет</t>
        </is>
      </c>
      <c r="D8" s="10" t="inlineStr">
        <is>
          <t>Street trading, food reg., компания.</t>
        </is>
      </c>
    </row>
    <row r="9">
      <c r="A9" s="12" t="inlineStr">
        <is>
          <t>Первичный сток (продукты)</t>
        </is>
      </c>
      <c r="B9" s="16" t="n">
        <v>1500</v>
      </c>
      <c r="C9" s="9" t="inlineStr">
        <is>
          <t>нет</t>
        </is>
      </c>
      <c r="D9" s="10" t="inlineStr">
        <is>
          <t>Стартовый запас.</t>
        </is>
      </c>
    </row>
    <row r="10">
      <c r="A10" s="12" t="inlineStr">
        <is>
          <t>Резерв / непредвиденное</t>
        </is>
      </c>
      <c r="B10" s="16" t="n">
        <v>3000</v>
      </c>
      <c r="C10" s="9" t="inlineStr">
        <is>
          <t>нет</t>
        </is>
      </c>
      <c r="D10" s="10" t="inlineStr">
        <is>
          <t>Буфер.</t>
        </is>
      </c>
    </row>
    <row r="11">
      <c r="A11" s="12" t="inlineStr">
        <is>
          <t>Депозит аренды</t>
        </is>
      </c>
      <c r="B11" s="37">
        <f>'Допущения'!$B$23*'Допущения'!$B$24</f>
        <v/>
      </c>
      <c r="C11" s="9" t="inlineStr">
        <is>
          <t>нет</t>
        </is>
      </c>
      <c r="D11" s="10" t="inlineStr">
        <is>
          <t>Возвратный депозит (мес × аренда).</t>
        </is>
      </c>
    </row>
    <row r="12">
      <c r="A12" s="12" t="inlineStr">
        <is>
          <t>Оборотный капитал (буфер)</t>
        </is>
      </c>
      <c r="B12" s="16" t="n">
        <v>6000</v>
      </c>
      <c r="C12" s="9" t="inlineStr">
        <is>
          <t>нет</t>
        </is>
      </c>
      <c r="D12" s="10" t="inlineStr">
        <is>
          <t>Запас на первые месяцы.</t>
        </is>
      </c>
    </row>
    <row r="13">
      <c r="A13" s="22" t="inlineStr">
        <is>
          <t>ИТОГО стартовые вложения</t>
        </is>
      </c>
      <c r="B13" s="34">
        <f>SUM(B3:B12)</f>
        <v/>
      </c>
    </row>
    <row r="14">
      <c r="A14" s="7" t="inlineStr">
        <is>
          <t>Амортизируемая база (оборудование)</t>
        </is>
      </c>
      <c r="B14" s="33">
        <f>B3+B4+B5+B6</f>
        <v/>
      </c>
    </row>
    <row r="15">
      <c r="A15" s="7" t="inlineStr">
        <is>
          <t>Амортизация в год</t>
        </is>
      </c>
      <c r="B15" s="33">
        <f>'Стартовые вложения'!$B$14/'Допущения'!$B$42</f>
        <v/>
      </c>
    </row>
    <row r="17">
      <c r="A17" s="6" t="inlineStr">
        <is>
          <t>ФИНАНСИРОВАНИЕ</t>
        </is>
      </c>
      <c r="B17" s="24" t="n"/>
      <c r="C17" s="24" t="n"/>
      <c r="D17" s="25" t="n"/>
    </row>
    <row r="18">
      <c r="A18" s="12" t="inlineStr">
        <is>
          <t>Собственные средства</t>
        </is>
      </c>
      <c r="B18" s="37">
        <f>'Допущения'!$B$45</f>
        <v/>
      </c>
    </row>
    <row r="19">
      <c r="A19" s="12" t="inlineStr">
        <is>
          <t>Кредит / займ</t>
        </is>
      </c>
      <c r="B19" s="37">
        <f>'Допущения'!$B$46</f>
        <v/>
      </c>
    </row>
    <row r="20">
      <c r="A20" s="22" t="inlineStr">
        <is>
          <t>Итого финансирование</t>
        </is>
      </c>
      <c r="B20" s="34">
        <f>'Допущения'!$B$45+'Допущения'!$B$46</f>
        <v/>
      </c>
    </row>
    <row r="21">
      <c r="A21" s="7" t="inlineStr">
        <is>
          <t>Профицит / (дефицит) финансирования</t>
        </is>
      </c>
      <c r="B21" s="33">
        <f>'Стартовые вложения'!$B$20-'Стартовые вложения'!$B$13</f>
        <v/>
      </c>
    </row>
  </sheetData>
  <mergeCells count="2">
    <mergeCell ref="A1:D1"/>
    <mergeCell ref="A17:D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ОТЧЁТ О ПРИБЫЛЯХ И УБЫТКАХ (P&amp;L), £ без НДС</t>
        </is>
      </c>
    </row>
    <row r="2">
      <c r="A2" s="5" t="inlineStr">
        <is>
          <t>Показатель</t>
        </is>
      </c>
      <c r="B2" s="5" t="inlineStr">
        <is>
          <t>Год 1</t>
        </is>
      </c>
      <c r="C2" s="5" t="inlineStr">
        <is>
          <t>Год 2</t>
        </is>
      </c>
      <c r="D2" s="5" t="inlineStr">
        <is>
          <t>Год 3</t>
        </is>
      </c>
      <c r="E2" s="5" t="inlineStr">
        <is>
          <t>Комментарий</t>
        </is>
      </c>
    </row>
    <row r="3">
      <c r="A3" s="12" t="inlineStr">
        <is>
          <t>Выручка брутто (с НДС)</t>
        </is>
      </c>
      <c r="B3" s="33">
        <f>'Выручка'!$O$9</f>
        <v/>
      </c>
      <c r="C3" s="33">
        <f>B3*(1+'Допущения'!$B$8)</f>
        <v/>
      </c>
      <c r="D3" s="33">
        <f>C3*(1+'Допущения'!$B$8)</f>
        <v/>
      </c>
      <c r="E3" s="10" t="inlineStr">
        <is>
          <t>Из «Выручки»; рост по допущению.</t>
        </is>
      </c>
    </row>
    <row r="4">
      <c r="A4" s="12" t="inlineStr">
        <is>
          <t>НДС с продаж</t>
        </is>
      </c>
      <c r="B4" s="33">
        <f>-'Выручка'!$O$10</f>
        <v/>
      </c>
      <c r="C4" s="33">
        <f>B4*(1+'Допущения'!$B$8)</f>
        <v/>
      </c>
      <c r="D4" s="33">
        <f>C4*(1+'Допущения'!$B$8)</f>
        <v/>
      </c>
      <c r="E4" s="10" t="inlineStr">
        <is>
          <t>Выходной НДС (20%).</t>
        </is>
      </c>
    </row>
    <row r="5">
      <c r="A5" s="22" t="inlineStr">
        <is>
          <t>Выручка нетто</t>
        </is>
      </c>
      <c r="B5" s="36">
        <f>'Выручка'!$O$11</f>
        <v/>
      </c>
      <c r="C5" s="36">
        <f>B5*(1+'Допущения'!$B$8)</f>
        <v/>
      </c>
      <c r="D5" s="36">
        <f>C5*(1+'Допущения'!$B$8)</f>
        <v/>
      </c>
      <c r="E5" s="10" t="inlineStr">
        <is>
          <t>Брутто минус НДС.</t>
        </is>
      </c>
    </row>
    <row r="6">
      <c r="A6" s="12" t="inlineStr">
        <is>
          <t>Себестоимость (COGS)</t>
        </is>
      </c>
      <c r="B6" s="33">
        <f>-'Выручка'!$O$7*'Меню и фудкост'!E23</f>
        <v/>
      </c>
      <c r="C6" s="33">
        <f>B6*(1+'Допущения'!$B$8)</f>
        <v/>
      </c>
      <c r="D6" s="33">
        <f>C6*(1+'Допущения'!$B$8)</f>
        <v/>
      </c>
      <c r="E6" s="10" t="inlineStr">
        <is>
          <t>Порций × себест. заказа (опт).</t>
        </is>
      </c>
    </row>
    <row r="7">
      <c r="A7" s="22" t="inlineStr">
        <is>
          <t>Валовая прибыль</t>
        </is>
      </c>
      <c r="B7" s="36">
        <f>B5+B6</f>
        <v/>
      </c>
      <c r="C7" s="36">
        <f>B7*(1+'Допущения'!$B$8)</f>
        <v/>
      </c>
      <c r="D7" s="36">
        <f>C7*(1+'Допущения'!$B$8)</f>
        <v/>
      </c>
      <c r="E7" s="10" t="inlineStr">
        <is>
          <t>Нетто-выручка − COGS.</t>
        </is>
      </c>
    </row>
    <row r="8">
      <c r="A8" s="12" t="inlineStr">
        <is>
          <t>Валовая маржа, %</t>
        </is>
      </c>
      <c r="B8" s="29">
        <f>B7/B5</f>
        <v/>
      </c>
      <c r="C8" s="29">
        <f>C7/C5</f>
        <v/>
      </c>
      <c r="D8" s="29">
        <f>D7/D5</f>
        <v/>
      </c>
      <c r="E8" s="10" t="inlineStr">
        <is>
          <t>Валовая прибыль / нетто-выручка.</t>
        </is>
      </c>
    </row>
    <row r="9">
      <c r="A9" s="12" t="inlineStr">
        <is>
          <t>Аренда + лицензия</t>
        </is>
      </c>
      <c r="B9" s="33">
        <f>-('Опер. расходы'!$C$3+'Опер. расходы'!$C$4)</f>
        <v/>
      </c>
      <c r="C9" s="33">
        <f>B9*(1+'Допущения'!$B$8)</f>
        <v/>
      </c>
      <c r="D9" s="33">
        <f>C9*(1+'Допущения'!$B$8)</f>
        <v/>
      </c>
      <c r="E9" s="10" t="inlineStr">
        <is>
          <t>Pitch + street trading licence.</t>
        </is>
      </c>
    </row>
    <row r="10">
      <c r="A10" s="12" t="inlineStr">
        <is>
          <t>Эквайринг + POS</t>
        </is>
      </c>
      <c r="B10" s="33">
        <f>-('Опер. расходы'!$C$7+'Опер. расходы'!$C$6)</f>
        <v/>
      </c>
      <c r="C10" s="33">
        <f>B10*(1+'Допущения'!$B$8)</f>
        <v/>
      </c>
      <c r="D10" s="33">
        <f>C10*(1+'Допущения'!$B$8)</f>
        <v/>
      </c>
      <c r="E10" s="10" t="inlineStr">
        <is>
          <t>Комиссии карт + касса.</t>
        </is>
      </c>
    </row>
    <row r="11">
      <c r="A11" s="12" t="inlineStr">
        <is>
          <t>Коммуналка</t>
        </is>
      </c>
      <c r="B11" s="33">
        <f>-'Опер. расходы'!$C$5</f>
        <v/>
      </c>
      <c r="C11" s="33">
        <f>B11*(1+'Допущения'!$B$8)</f>
        <v/>
      </c>
      <c r="D11" s="33">
        <f>C11*(1+'Допущения'!$B$8)</f>
        <v/>
      </c>
      <c r="E11" s="10" t="inlineStr"/>
    </row>
    <row r="12">
      <c r="A12" s="12" t="inlineStr">
        <is>
          <t>Прочие опер. расходы</t>
        </is>
      </c>
      <c r="B12" s="33">
        <f>-('Опер. расходы'!$C$8+'Опер. расходы'!$C$9+'Опер. расходы'!$C$10+'Опер. расходы'!$C$11+'Опер. расходы'!$C$12+'Опер. расходы'!$C$13+'Опер. расходы'!$C$14)</f>
        <v/>
      </c>
      <c r="C12" s="33">
        <f>B12*(1+'Допущения'!$B$8)</f>
        <v/>
      </c>
      <c r="D12" s="33">
        <f>C12*(1+'Допущения'!$B$8)</f>
        <v/>
      </c>
      <c r="E12" s="10" t="inlineStr">
        <is>
          <t>Страховка, waste, уборка, маркетинг, бухг., ремонт, прочее.</t>
        </is>
      </c>
    </row>
    <row r="13">
      <c r="A13" s="12" t="inlineStr">
        <is>
          <t>Расходы на персонал</t>
        </is>
      </c>
      <c r="B13" s="33">
        <f>-'Персонал'!$B$14</f>
        <v/>
      </c>
      <c r="C13" s="33">
        <f>B13*(1+'Допущения'!$B$8)</f>
        <v/>
      </c>
      <c r="D13" s="33">
        <f>C13*(1+'Допущения'!$B$8)</f>
        <v/>
      </c>
      <c r="E13" s="10" t="inlineStr">
        <is>
          <t>ФОТ + NIC + пенсия.</t>
        </is>
      </c>
    </row>
    <row r="14">
      <c r="A14" s="22" t="inlineStr">
        <is>
          <t>EBITDA</t>
        </is>
      </c>
      <c r="B14" s="36">
        <f>B7+B9+B10+B11+B12+B13</f>
        <v/>
      </c>
      <c r="C14" s="36">
        <f>B14*(1+'Допущения'!$B$8)</f>
        <v/>
      </c>
      <c r="D14" s="36">
        <f>C14*(1+'Допущения'!$B$8)</f>
        <v/>
      </c>
      <c r="E14" s="10" t="inlineStr">
        <is>
          <t>Прибыль до аморт., %, налога.</t>
        </is>
      </c>
    </row>
    <row r="15">
      <c r="A15" s="12" t="inlineStr">
        <is>
          <t>Амортизация</t>
        </is>
      </c>
      <c r="B15" s="33">
        <f>-'Стартовые вложения'!$B$15</f>
        <v/>
      </c>
      <c r="C15" s="33">
        <f>B15</f>
        <v/>
      </c>
      <c r="D15" s="33">
        <f>C15</f>
        <v/>
      </c>
      <c r="E15" s="10" t="inlineStr">
        <is>
          <t>Равномерно по сроку службы.</t>
        </is>
      </c>
    </row>
    <row r="16">
      <c r="A16" s="12" t="inlineStr">
        <is>
          <t>Проценты по кредиту</t>
        </is>
      </c>
      <c r="B16" s="33">
        <f>-'Допущения'!$B$46*'Допущения'!$B$47</f>
        <v/>
      </c>
      <c r="C16" s="33">
        <f>-'Допущения'!$B$46*'Допущения'!$B$47*0.66</f>
        <v/>
      </c>
      <c r="D16" s="33">
        <f>-'Допущения'!$B$46*'Допущения'!$B$47*0.33</f>
        <v/>
      </c>
      <c r="E16" s="10" t="inlineStr">
        <is>
          <t>Убывают по мере погашения (упрощённо).</t>
        </is>
      </c>
    </row>
    <row r="17">
      <c r="A17" s="22" t="inlineStr">
        <is>
          <t>Прибыль до налога (PBT)</t>
        </is>
      </c>
      <c r="B17" s="36">
        <f>B14+B15+B16</f>
        <v/>
      </c>
      <c r="C17" s="36">
        <f>B17*(1+'Допущения'!$B$8)</f>
        <v/>
      </c>
      <c r="D17" s="36">
        <f>C17*(1+'Допущения'!$B$8)</f>
        <v/>
      </c>
      <c r="E17" s="10" t="inlineStr"/>
    </row>
    <row r="18">
      <c r="A18" s="12" t="inlineStr">
        <is>
          <t>Corporation tax</t>
        </is>
      </c>
      <c r="B18" s="33">
        <f>-MAX(0,B17)*'Допущения'!$B$41</f>
        <v/>
      </c>
      <c r="C18" s="33">
        <f>-MAX(0,C17)*'Допущения'!$B$41</f>
        <v/>
      </c>
      <c r="D18" s="33">
        <f>-MAX(0,D17)*'Допущения'!$B$41</f>
        <v/>
      </c>
      <c r="E18" s="10" t="inlineStr">
        <is>
          <t>19% (small profits).</t>
        </is>
      </c>
    </row>
    <row r="19">
      <c r="A19" s="22" t="inlineStr">
        <is>
          <t>ЧИСТАЯ ПРИБЫЛЬ</t>
        </is>
      </c>
      <c r="B19" s="36">
        <f>B17+B18</f>
        <v/>
      </c>
      <c r="C19" s="36">
        <f>B19*(1+'Допущения'!$B$8)</f>
        <v/>
      </c>
      <c r="D19" s="36">
        <f>C19*(1+'Допущения'!$B$8)</f>
        <v/>
      </c>
      <c r="E19" s="10" t="inlineStr"/>
    </row>
    <row r="20">
      <c r="A20" s="12" t="inlineStr">
        <is>
          <t>Чистая маржа, %</t>
        </is>
      </c>
      <c r="B20" s="29">
        <f>B19/B5</f>
        <v/>
      </c>
      <c r="C20" s="29">
        <f>C19/C5</f>
        <v/>
      </c>
      <c r="D20" s="29">
        <f>D19/D5</f>
        <v/>
      </c>
      <c r="E20" s="10" t="inlineStr">
        <is>
          <t>Чистая прибыль / нетто-выручка.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ДВИЖЕНИЕ ДЕНЕЖНЫХ СРЕДСТВ (Cash flow) — Год 1, £</t>
        </is>
      </c>
    </row>
    <row r="2">
      <c r="A2" s="4" t="inlineStr">
        <is>
          <t>Мес.0 — запуск (CapEx, финансирование). Включены обслуживание кредита (проценты+тело) и квартальный НДС.</t>
        </is>
      </c>
    </row>
    <row r="3">
      <c r="A3" s="5" t="inlineStr">
        <is>
          <t>Показатель</t>
        </is>
      </c>
      <c r="B3" s="5" t="inlineStr">
        <is>
          <t>Мес.0</t>
        </is>
      </c>
      <c r="C3" s="5" t="inlineStr">
        <is>
          <t>Янв</t>
        </is>
      </c>
      <c r="D3" s="5" t="inlineStr">
        <is>
          <t>Фев</t>
        </is>
      </c>
      <c r="E3" s="5" t="inlineStr">
        <is>
          <t>Мар</t>
        </is>
      </c>
      <c r="F3" s="5" t="inlineStr">
        <is>
          <t>Апр</t>
        </is>
      </c>
      <c r="G3" s="5" t="inlineStr">
        <is>
          <t>Май</t>
        </is>
      </c>
      <c r="H3" s="5" t="inlineStr">
        <is>
          <t>Июн</t>
        </is>
      </c>
      <c r="I3" s="5" t="inlineStr">
        <is>
          <t>Июл</t>
        </is>
      </c>
      <c r="J3" s="5" t="inlineStr">
        <is>
          <t>Авг</t>
        </is>
      </c>
      <c r="K3" s="5" t="inlineStr">
        <is>
          <t>Сен</t>
        </is>
      </c>
      <c r="L3" s="5" t="inlineStr">
        <is>
          <t>Окт</t>
        </is>
      </c>
      <c r="M3" s="5" t="inlineStr">
        <is>
          <t>Ноя</t>
        </is>
      </c>
      <c r="N3" s="5" t="inlineStr">
        <is>
          <t>Дек</t>
        </is>
      </c>
      <c r="O3" s="5" t="inlineStr">
        <is>
          <t>Год</t>
        </is>
      </c>
    </row>
    <row r="4">
      <c r="A4" s="12" t="inlineStr">
        <is>
          <t>Поступления (брутто, с НДС)</t>
        </is>
      </c>
      <c r="B4" s="33" t="n">
        <v>0</v>
      </c>
      <c r="C4" s="33">
        <f>'Выручка'!C9</f>
        <v/>
      </c>
      <c r="D4" s="33">
        <f>'Выручка'!D9</f>
        <v/>
      </c>
      <c r="E4" s="33">
        <f>'Выручка'!E9</f>
        <v/>
      </c>
      <c r="F4" s="33">
        <f>'Выручка'!F9</f>
        <v/>
      </c>
      <c r="G4" s="33">
        <f>'Выручка'!G9</f>
        <v/>
      </c>
      <c r="H4" s="33">
        <f>'Выручка'!H9</f>
        <v/>
      </c>
      <c r="I4" s="33">
        <f>'Выручка'!I9</f>
        <v/>
      </c>
      <c r="J4" s="33">
        <f>'Выручка'!J9</f>
        <v/>
      </c>
      <c r="K4" s="33">
        <f>'Выручка'!K9</f>
        <v/>
      </c>
      <c r="L4" s="33">
        <f>'Выручка'!L9</f>
        <v/>
      </c>
      <c r="M4" s="33">
        <f>'Выручка'!M9</f>
        <v/>
      </c>
      <c r="N4" s="33">
        <f>'Выручка'!N9</f>
        <v/>
      </c>
      <c r="O4" s="33">
        <f>B4+SUM(C4:N4)</f>
        <v/>
      </c>
    </row>
    <row r="5">
      <c r="A5" s="12" t="inlineStr">
        <is>
          <t>Финансирование (equity+кредит)</t>
        </is>
      </c>
      <c r="B5" s="33">
        <f>'Стартовые вложения'!$B$20</f>
        <v/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0</v>
      </c>
      <c r="H5" s="33" t="n">
        <v>0</v>
      </c>
      <c r="I5" s="33" t="n">
        <v>0</v>
      </c>
      <c r="J5" s="33" t="n">
        <v>0</v>
      </c>
      <c r="K5" s="33" t="n">
        <v>0</v>
      </c>
      <c r="L5" s="33" t="n">
        <v>0</v>
      </c>
      <c r="M5" s="33" t="n">
        <v>0</v>
      </c>
      <c r="N5" s="33" t="n">
        <v>0</v>
      </c>
      <c r="O5" s="33">
        <f>B5+SUM(C5:N5)</f>
        <v/>
      </c>
    </row>
    <row r="6">
      <c r="A6" s="12" t="inlineStr">
        <is>
          <t>CapEx / стартовые вложения</t>
        </is>
      </c>
      <c r="B6" s="33">
        <f>-'Стартовые вложения'!$B$13</f>
        <v/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>
        <f>B6+SUM(C6:N6)</f>
        <v/>
      </c>
    </row>
    <row r="7">
      <c r="A7" s="12" t="inlineStr">
        <is>
          <t>Себестоимость (COGS)</t>
        </is>
      </c>
      <c r="B7" s="33" t="n">
        <v>0</v>
      </c>
      <c r="C7" s="33">
        <f>-'Выручка'!C7*'Меню и фудкост'!E23</f>
        <v/>
      </c>
      <c r="D7" s="33">
        <f>-'Выручка'!D7*'Меню и фудкост'!E23</f>
        <v/>
      </c>
      <c r="E7" s="33">
        <f>-'Выручка'!E7*'Меню и фудкост'!E23</f>
        <v/>
      </c>
      <c r="F7" s="33">
        <f>-'Выручка'!F7*'Меню и фудкост'!E23</f>
        <v/>
      </c>
      <c r="G7" s="33">
        <f>-'Выручка'!G7*'Меню и фудкост'!E23</f>
        <v/>
      </c>
      <c r="H7" s="33">
        <f>-'Выручка'!H7*'Меню и фудкост'!E23</f>
        <v/>
      </c>
      <c r="I7" s="33">
        <f>-'Выручка'!I7*'Меню и фудкост'!E23</f>
        <v/>
      </c>
      <c r="J7" s="33">
        <f>-'Выручка'!J7*'Меню и фудкост'!E23</f>
        <v/>
      </c>
      <c r="K7" s="33">
        <f>-'Выручка'!K7*'Меню и фудкост'!E23</f>
        <v/>
      </c>
      <c r="L7" s="33">
        <f>-'Выручка'!L7*'Меню и фудкост'!E23</f>
        <v/>
      </c>
      <c r="M7" s="33">
        <f>-'Выручка'!M7*'Меню и фудкост'!E23</f>
        <v/>
      </c>
      <c r="N7" s="33">
        <f>-'Выручка'!N7*'Меню и фудкост'!E23</f>
        <v/>
      </c>
      <c r="O7" s="33">
        <f>B7+SUM(C7:N7)</f>
        <v/>
      </c>
    </row>
    <row r="8">
      <c r="A8" s="12" t="inlineStr">
        <is>
          <t>Персонал (ФОТ+NIC+пенсия)</t>
        </is>
      </c>
      <c r="B8" s="33" t="n">
        <v>0</v>
      </c>
      <c r="C8" s="33">
        <f>-'Персонал'!$B$14/12</f>
        <v/>
      </c>
      <c r="D8" s="33">
        <f>-'Персонал'!$B$14/12</f>
        <v/>
      </c>
      <c r="E8" s="33">
        <f>-'Персонал'!$B$14/12</f>
        <v/>
      </c>
      <c r="F8" s="33">
        <f>-'Персонал'!$B$14/12</f>
        <v/>
      </c>
      <c r="G8" s="33">
        <f>-'Персонал'!$B$14/12</f>
        <v/>
      </c>
      <c r="H8" s="33">
        <f>-'Персонал'!$B$14/12</f>
        <v/>
      </c>
      <c r="I8" s="33">
        <f>-'Персонал'!$B$14/12</f>
        <v/>
      </c>
      <c r="J8" s="33">
        <f>-'Персонал'!$B$14/12</f>
        <v/>
      </c>
      <c r="K8" s="33">
        <f>-'Персонал'!$B$14/12</f>
        <v/>
      </c>
      <c r="L8" s="33">
        <f>-'Персонал'!$B$14/12</f>
        <v/>
      </c>
      <c r="M8" s="33">
        <f>-'Персонал'!$B$14/12</f>
        <v/>
      </c>
      <c r="N8" s="33">
        <f>-'Персонал'!$B$14/12</f>
        <v/>
      </c>
      <c r="O8" s="33">
        <f>B8+SUM(C8:N8)</f>
        <v/>
      </c>
    </row>
    <row r="9">
      <c r="A9" s="12" t="inlineStr">
        <is>
          <t>Аренда + лицензия</t>
        </is>
      </c>
      <c r="B9" s="33" t="n">
        <v>0</v>
      </c>
      <c r="C9" s="33">
        <f>-'Допущения'!$B$23-'Допущения'!$B$25/12</f>
        <v/>
      </c>
      <c r="D9" s="33">
        <f>-'Допущения'!$B$23-'Допущения'!$B$25/12</f>
        <v/>
      </c>
      <c r="E9" s="33">
        <f>-'Допущения'!$B$23-'Допущения'!$B$25/12</f>
        <v/>
      </c>
      <c r="F9" s="33">
        <f>-'Допущения'!$B$23-'Допущения'!$B$25/12</f>
        <v/>
      </c>
      <c r="G9" s="33">
        <f>-'Допущения'!$B$23-'Допущения'!$B$25/12</f>
        <v/>
      </c>
      <c r="H9" s="33">
        <f>-'Допущения'!$B$23-'Допущения'!$B$25/12</f>
        <v/>
      </c>
      <c r="I9" s="33">
        <f>-'Допущения'!$B$23-'Допущения'!$B$25/12</f>
        <v/>
      </c>
      <c r="J9" s="33">
        <f>-'Допущения'!$B$23-'Допущения'!$B$25/12</f>
        <v/>
      </c>
      <c r="K9" s="33">
        <f>-'Допущения'!$B$23-'Допущения'!$B$25/12</f>
        <v/>
      </c>
      <c r="L9" s="33">
        <f>-'Допущения'!$B$23-'Допущения'!$B$25/12</f>
        <v/>
      </c>
      <c r="M9" s="33">
        <f>-'Допущения'!$B$23-'Допущения'!$B$25/12</f>
        <v/>
      </c>
      <c r="N9" s="33">
        <f>-'Допущения'!$B$23-'Допущения'!$B$25/12</f>
        <v/>
      </c>
      <c r="O9" s="33">
        <f>B9+SUM(C9:N9)</f>
        <v/>
      </c>
    </row>
    <row r="10">
      <c r="A10" s="12" t="inlineStr">
        <is>
          <t>Прочие опер. расходы</t>
        </is>
      </c>
      <c r="B10" s="33" t="n">
        <v>0</v>
      </c>
      <c r="C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D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E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F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G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H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I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J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K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L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M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N10" s="33">
        <f>-('Допущения'!$B$28+'Допущения'!$B$29+'Допущения'!$B$32+'Допущения'!$B$33+'Допущения'!$B$34+'Допущения'!$B$35+'Допущения'!$B$36+'Допущения'!$B$37+'Допущения'!$B$38)</f>
        <v/>
      </c>
      <c r="O10" s="33">
        <f>B10+SUM(C10:N10)</f>
        <v/>
      </c>
    </row>
    <row r="11">
      <c r="A11" s="12" t="inlineStr">
        <is>
          <t>Эквайринг (комиссия)</t>
        </is>
      </c>
      <c r="B11" s="33" t="n">
        <v>0</v>
      </c>
      <c r="C11" s="33">
        <f>-'Выручка'!C9*'Допущения'!$B$31*'Допущения'!$B$30</f>
        <v/>
      </c>
      <c r="D11" s="33">
        <f>-'Выручка'!D9*'Допущения'!$B$31*'Допущения'!$B$30</f>
        <v/>
      </c>
      <c r="E11" s="33">
        <f>-'Выручка'!E9*'Допущения'!$B$31*'Допущения'!$B$30</f>
        <v/>
      </c>
      <c r="F11" s="33">
        <f>-'Выручка'!F9*'Допущения'!$B$31*'Допущения'!$B$30</f>
        <v/>
      </c>
      <c r="G11" s="33">
        <f>-'Выручка'!G9*'Допущения'!$B$31*'Допущения'!$B$30</f>
        <v/>
      </c>
      <c r="H11" s="33">
        <f>-'Выручка'!H9*'Допущения'!$B$31*'Допущения'!$B$30</f>
        <v/>
      </c>
      <c r="I11" s="33">
        <f>-'Выручка'!I9*'Допущения'!$B$31*'Допущения'!$B$30</f>
        <v/>
      </c>
      <c r="J11" s="33">
        <f>-'Выручка'!J9*'Допущения'!$B$31*'Допущения'!$B$30</f>
        <v/>
      </c>
      <c r="K11" s="33">
        <f>-'Выручка'!K9*'Допущения'!$B$31*'Допущения'!$B$30</f>
        <v/>
      </c>
      <c r="L11" s="33">
        <f>-'Выручка'!L9*'Допущения'!$B$31*'Допущения'!$B$30</f>
        <v/>
      </c>
      <c r="M11" s="33">
        <f>-'Выручка'!M9*'Допущения'!$B$31*'Допущения'!$B$30</f>
        <v/>
      </c>
      <c r="N11" s="33">
        <f>-'Выручка'!N9*'Допущения'!$B$31*'Допущения'!$B$30</f>
        <v/>
      </c>
      <c r="O11" s="33">
        <f>B11+SUM(C11:N11)</f>
        <v/>
      </c>
    </row>
    <row r="12">
      <c r="A12" s="12" t="inlineStr">
        <is>
          <t>Проценты по кредиту</t>
        </is>
      </c>
      <c r="B12" s="33" t="n">
        <v>0</v>
      </c>
      <c r="C12" s="33">
        <f>-'Допущения'!$B$46*'Допущения'!$B$47/12</f>
        <v/>
      </c>
      <c r="D12" s="33">
        <f>-'Допущения'!$B$46*'Допущения'!$B$47/12</f>
        <v/>
      </c>
      <c r="E12" s="33">
        <f>-'Допущения'!$B$46*'Допущения'!$B$47/12</f>
        <v/>
      </c>
      <c r="F12" s="33">
        <f>-'Допущения'!$B$46*'Допущения'!$B$47/12</f>
        <v/>
      </c>
      <c r="G12" s="33">
        <f>-'Допущения'!$B$46*'Допущения'!$B$47/12</f>
        <v/>
      </c>
      <c r="H12" s="33">
        <f>-'Допущения'!$B$46*'Допущения'!$B$47/12</f>
        <v/>
      </c>
      <c r="I12" s="33">
        <f>-'Допущения'!$B$46*'Допущения'!$B$47/12</f>
        <v/>
      </c>
      <c r="J12" s="33">
        <f>-'Допущения'!$B$46*'Допущения'!$B$47/12</f>
        <v/>
      </c>
      <c r="K12" s="33">
        <f>-'Допущения'!$B$46*'Допущения'!$B$47/12</f>
        <v/>
      </c>
      <c r="L12" s="33">
        <f>-'Допущения'!$B$46*'Допущения'!$B$47/12</f>
        <v/>
      </c>
      <c r="M12" s="33">
        <f>-'Допущения'!$B$46*'Допущения'!$B$47/12</f>
        <v/>
      </c>
      <c r="N12" s="33">
        <f>-'Допущения'!$B$46*'Допущения'!$B$47/12</f>
        <v/>
      </c>
      <c r="O12" s="33">
        <f>B12+SUM(C12:N12)</f>
        <v/>
      </c>
    </row>
    <row r="13">
      <c r="A13" s="12" t="inlineStr">
        <is>
          <t>Погашение тела кредита</t>
        </is>
      </c>
      <c r="B13" s="33" t="n">
        <v>0</v>
      </c>
      <c r="C13" s="33">
        <f>-'Допущения'!$B$46/'Допущения'!$B$48/12</f>
        <v/>
      </c>
      <c r="D13" s="33">
        <f>-'Допущения'!$B$46/'Допущения'!$B$48/12</f>
        <v/>
      </c>
      <c r="E13" s="33">
        <f>-'Допущения'!$B$46/'Допущения'!$B$48/12</f>
        <v/>
      </c>
      <c r="F13" s="33">
        <f>-'Допущения'!$B$46/'Допущения'!$B$48/12</f>
        <v/>
      </c>
      <c r="G13" s="33">
        <f>-'Допущения'!$B$46/'Допущения'!$B$48/12</f>
        <v/>
      </c>
      <c r="H13" s="33">
        <f>-'Допущения'!$B$46/'Допущения'!$B$48/12</f>
        <v/>
      </c>
      <c r="I13" s="33">
        <f>-'Допущения'!$B$46/'Допущения'!$B$48/12</f>
        <v/>
      </c>
      <c r="J13" s="33">
        <f>-'Допущения'!$B$46/'Допущения'!$B$48/12</f>
        <v/>
      </c>
      <c r="K13" s="33">
        <f>-'Допущения'!$B$46/'Допущения'!$B$48/12</f>
        <v/>
      </c>
      <c r="L13" s="33">
        <f>-'Допущения'!$B$46/'Допущения'!$B$48/12</f>
        <v/>
      </c>
      <c r="M13" s="33">
        <f>-'Допущения'!$B$46/'Допущения'!$B$48/12</f>
        <v/>
      </c>
      <c r="N13" s="33">
        <f>-'Допущения'!$B$46/'Допущения'!$B$48/12</f>
        <v/>
      </c>
      <c r="O13" s="33">
        <f>B13+SUM(C13:N13)</f>
        <v/>
      </c>
    </row>
    <row r="14">
      <c r="A14" s="12" t="inlineStr">
        <is>
          <t>НДС к уплате (квартально)</t>
        </is>
      </c>
      <c r="B14" s="33" t="n">
        <v>0</v>
      </c>
      <c r="C14" s="33" t="n">
        <v>0</v>
      </c>
      <c r="D14" s="33" t="n">
        <v>0</v>
      </c>
      <c r="E14" s="33">
        <f>-(('Выручка'!C10+'Выручка'!D10+'Выручка'!E10)-('Опер. расходы'!$C$17/12*3*'Допущения'!$B$7/(1+'Допущения'!$B$7)))</f>
        <v/>
      </c>
      <c r="F14" s="33" t="n">
        <v>0</v>
      </c>
      <c r="G14" s="33" t="n">
        <v>0</v>
      </c>
      <c r="H14" s="33">
        <f>-(('Выручка'!F10+'Выручка'!G10+'Выручка'!H10)-('Опер. расходы'!$C$17/12*3*'Допущения'!$B$7/(1+'Допущения'!$B$7)))</f>
        <v/>
      </c>
      <c r="I14" s="33" t="n">
        <v>0</v>
      </c>
      <c r="J14" s="33" t="n">
        <v>0</v>
      </c>
      <c r="K14" s="33">
        <f>-(('Выручка'!I10+'Выручка'!J10+'Выручка'!K10)-('Опер. расходы'!$C$17/12*3*'Допущения'!$B$7/(1+'Допущения'!$B$7)))</f>
        <v/>
      </c>
      <c r="L14" s="33" t="n">
        <v>0</v>
      </c>
      <c r="M14" s="33" t="n">
        <v>0</v>
      </c>
      <c r="N14" s="33">
        <f>-(('Выручка'!L10+'Выручка'!M10+'Выручка'!N10)-('Опер. расходы'!$C$17/12*3*'Допущения'!$B$7/(1+'Допущения'!$B$7)))</f>
        <v/>
      </c>
      <c r="O14" s="33">
        <f>B14+SUM(C14:N14)</f>
        <v/>
      </c>
    </row>
    <row r="15">
      <c r="A15" s="22" t="inlineStr">
        <is>
          <t>Чистый денежный поток</t>
        </is>
      </c>
      <c r="B15" s="34">
        <f>SUM(B4:B14)</f>
        <v/>
      </c>
      <c r="C15" s="34">
        <f>SUM(C4:C14)</f>
        <v/>
      </c>
      <c r="D15" s="34">
        <f>SUM(D4:D14)</f>
        <v/>
      </c>
      <c r="E15" s="34">
        <f>SUM(E4:E14)</f>
        <v/>
      </c>
      <c r="F15" s="34">
        <f>SUM(F4:F14)</f>
        <v/>
      </c>
      <c r="G15" s="34">
        <f>SUM(G4:G14)</f>
        <v/>
      </c>
      <c r="H15" s="34">
        <f>SUM(H4:H14)</f>
        <v/>
      </c>
      <c r="I15" s="34">
        <f>SUM(I4:I14)</f>
        <v/>
      </c>
      <c r="J15" s="34">
        <f>SUM(J4:J14)</f>
        <v/>
      </c>
      <c r="K15" s="34">
        <f>SUM(K4:K14)</f>
        <v/>
      </c>
      <c r="L15" s="34">
        <f>SUM(L4:L14)</f>
        <v/>
      </c>
      <c r="M15" s="34">
        <f>SUM(M4:M14)</f>
        <v/>
      </c>
      <c r="N15" s="34">
        <f>SUM(N4:N14)</f>
        <v/>
      </c>
      <c r="O15" s="34">
        <f>B15+SUM(C15:N15)</f>
        <v/>
      </c>
    </row>
    <row r="16">
      <c r="A16" s="26" t="inlineStr">
        <is>
          <t>Остаток денежных средств (накопл.)</t>
        </is>
      </c>
      <c r="B16" s="39">
        <f>B15</f>
        <v/>
      </c>
      <c r="C16" s="39">
        <f>B16+C15</f>
        <v/>
      </c>
      <c r="D16" s="39">
        <f>C16+D15</f>
        <v/>
      </c>
      <c r="E16" s="39">
        <f>D16+E15</f>
        <v/>
      </c>
      <c r="F16" s="39">
        <f>E16+F15</f>
        <v/>
      </c>
      <c r="G16" s="39">
        <f>F16+G15</f>
        <v/>
      </c>
      <c r="H16" s="39">
        <f>G16+H15</f>
        <v/>
      </c>
      <c r="I16" s="39">
        <f>H16+I15</f>
        <v/>
      </c>
      <c r="J16" s="39">
        <f>I16+J15</f>
        <v/>
      </c>
      <c r="K16" s="39">
        <f>J16+K15</f>
        <v/>
      </c>
      <c r="L16" s="39">
        <f>K16+L15</f>
        <v/>
      </c>
      <c r="M16" s="39">
        <f>L16+M15</f>
        <v/>
      </c>
      <c r="N16" s="39">
        <f>M16+N15</f>
        <v/>
      </c>
    </row>
    <row r="18">
      <c r="A18" s="10" t="inlineStr">
        <is>
          <t>Справка: Corporation tax начислен</t>
        </is>
      </c>
      <c r="B18" s="40">
        <f>-'P&amp;L (3 года)'!$B$18</f>
        <v/>
      </c>
      <c r="C18" s="41" t="inlineStr">
        <is>
          <t>Не входит в поток Года 1: CT уплачивается через 9 мес + 1 день после конца отчётного года (т.е. в Год 2).</t>
        </is>
      </c>
    </row>
  </sheetData>
  <mergeCells count="2">
    <mergeCell ref="A1:O1"/>
    <mergeCell ref="C18:O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ТОЧКА БЕЗУБЫТОЧНОСТИ И СЦЕНАРИИ</t>
        </is>
      </c>
    </row>
    <row r="2">
      <c r="A2" s="4" t="inlineStr">
        <is>
          <t>Маржинальный анализ: постоянные затраты покрываются маржой на заказ.</t>
        </is>
      </c>
    </row>
    <row r="3">
      <c r="A3" s="12" t="inlineStr">
        <is>
          <t>Средний чек, нетто</t>
        </is>
      </c>
      <c r="B3" s="21">
        <f>'Допущения'!$B$6/(1+'Допущения'!$B$7)</f>
        <v/>
      </c>
      <c r="C3" s="10" t="inlineStr">
        <is>
          <t>Без НДС.</t>
        </is>
      </c>
      <c r="D3" s="24" t="n"/>
      <c r="E3" s="25" t="n"/>
    </row>
    <row r="4">
      <c r="A4" s="12" t="inlineStr">
        <is>
          <t>Переменные затраты на заказ</t>
        </is>
      </c>
      <c r="B4" s="21">
        <f>'Меню и фудкост'!E23+('Допущения'!$B$6*'Допущения'!$B$31*'Допущения'!$B$30)</f>
        <v/>
      </c>
      <c r="C4" s="10" t="inlineStr">
        <is>
          <t>Себест. заказа + комиссия эквайринга.</t>
        </is>
      </c>
      <c r="D4" s="24" t="n"/>
      <c r="E4" s="25" t="n"/>
    </row>
    <row r="5">
      <c r="A5" s="22" t="inlineStr">
        <is>
          <t>Маржинальный доход на заказ</t>
        </is>
      </c>
      <c r="B5" s="42">
        <f>B3-B4</f>
        <v/>
      </c>
      <c r="C5" s="10" t="inlineStr">
        <is>
          <t>Contribution margin.</t>
        </is>
      </c>
      <c r="D5" s="24" t="n"/>
      <c r="E5" s="25" t="n"/>
    </row>
    <row r="6">
      <c r="A6" s="22" t="inlineStr">
        <is>
          <t>Постоянные затраты в год</t>
        </is>
      </c>
      <c r="B6" s="36">
        <f>'Опер. расходы'!$C$15+'Персонал'!$B$14+'Стартовые вложения'!$B$15+'Допущения'!$B$46*'Допущения'!$B$47-('Выручка'!$O$9*'Допущения'!$B$31*'Допущения'!$B$30)</f>
        <v/>
      </c>
      <c r="C6" s="10" t="inlineStr">
        <is>
          <t>Опер.расходы+персонал+аморт.+% (эквайринг вынесен в переменные).</t>
        </is>
      </c>
      <c r="D6" s="24" t="n"/>
      <c r="E6" s="25" t="n"/>
    </row>
    <row r="7">
      <c r="A7" s="22" t="inlineStr">
        <is>
          <t>Точка безубыточности (заказов/год)</t>
        </is>
      </c>
      <c r="B7" s="32">
        <f>B6/B5</f>
        <v/>
      </c>
      <c r="C7" s="10" t="inlineStr"/>
      <c r="D7" s="24" t="n"/>
      <c r="E7" s="25" t="n"/>
    </row>
    <row r="8">
      <c r="A8" s="22" t="inlineStr">
        <is>
          <t>Точка безубыточности (заказов/день)</t>
        </is>
      </c>
      <c r="B8" s="43">
        <f>B7/'Выручка'!$O$4</f>
        <v/>
      </c>
      <c r="C8" s="10" t="inlineStr"/>
      <c r="D8" s="24" t="n"/>
      <c r="E8" s="25" t="n"/>
    </row>
    <row r="9">
      <c r="A9" s="12" t="inlineStr">
        <is>
          <t>Текущая база (заказов/день)</t>
        </is>
      </c>
      <c r="B9" s="30">
        <f>'Допущения'!$B$5</f>
        <v/>
      </c>
      <c r="C9" s="10" t="inlineStr">
        <is>
          <t>Из «Допущений».</t>
        </is>
      </c>
      <c r="D9" s="24" t="n"/>
      <c r="E9" s="25" t="n"/>
    </row>
    <row r="10">
      <c r="A10" s="22" t="inlineStr">
        <is>
          <t>Запас прочности</t>
        </is>
      </c>
      <c r="B10" s="44">
        <f>('Допущения'!$B$5-B8)/'Допущения'!$B$5</f>
        <v/>
      </c>
      <c r="C10" s="10" t="inlineStr">
        <is>
          <t>Насколько база выше безубыточности.</t>
        </is>
      </c>
      <c r="D10" s="24" t="n"/>
      <c r="E10" s="25" t="n"/>
    </row>
    <row r="12">
      <c r="A12" s="6" t="inlineStr">
        <is>
          <t>СЦЕНАРИИ (год)</t>
        </is>
      </c>
      <c r="B12" s="24" t="n"/>
      <c r="C12" s="24" t="n"/>
      <c r="D12" s="24" t="n"/>
      <c r="E12" s="25" t="n"/>
    </row>
    <row r="13">
      <c r="A13" s="5" t="inlineStr">
        <is>
          <t>Показатель</t>
        </is>
      </c>
      <c r="B13" s="5" t="inlineStr">
        <is>
          <t>Пессимистичный</t>
        </is>
      </c>
      <c r="C13" s="5" t="inlineStr">
        <is>
          <t>Базовый</t>
        </is>
      </c>
      <c r="D13" s="5" t="inlineStr">
        <is>
          <t>Оптимистичный</t>
        </is>
      </c>
    </row>
    <row r="14">
      <c r="A14" s="12" t="inlineStr">
        <is>
          <t>Порций/день (ввод)</t>
        </is>
      </c>
      <c r="B14" s="18" t="n">
        <v>60</v>
      </c>
      <c r="C14" s="18" t="n">
        <v>90</v>
      </c>
      <c r="D14" s="18" t="n">
        <v>120</v>
      </c>
    </row>
    <row r="15">
      <c r="A15" s="12" t="inlineStr">
        <is>
          <t>Выручка нетто</t>
        </is>
      </c>
      <c r="B15" s="33">
        <f>B14*'Выручка'!$O$4*$B$3</f>
        <v/>
      </c>
      <c r="C15" s="33">
        <f>C14*'Выручка'!$O$4*$B$3</f>
        <v/>
      </c>
      <c r="D15" s="33">
        <f>D14*'Выручка'!$O$4*$B$3</f>
        <v/>
      </c>
    </row>
    <row r="16">
      <c r="A16" s="12" t="inlineStr">
        <is>
          <t>Маржинальный доход</t>
        </is>
      </c>
      <c r="B16" s="33">
        <f>B14*'Выручка'!$O$4*$B$5</f>
        <v/>
      </c>
      <c r="C16" s="33">
        <f>C14*'Выручка'!$O$4*$B$5</f>
        <v/>
      </c>
      <c r="D16" s="33">
        <f>D14*'Выручка'!$O$4*$B$5</f>
        <v/>
      </c>
    </row>
    <row r="17">
      <c r="A17" s="12" t="inlineStr">
        <is>
          <t>− Постоянные затраты</t>
        </is>
      </c>
      <c r="B17" s="33">
        <f>-$B$6</f>
        <v/>
      </c>
      <c r="C17" s="33">
        <f>-$B$6</f>
        <v/>
      </c>
      <c r="D17" s="33">
        <f>-$B$6</f>
        <v/>
      </c>
    </row>
    <row r="18">
      <c r="A18" s="22" t="inlineStr">
        <is>
          <t>Прибыль до налога</t>
        </is>
      </c>
      <c r="B18" s="36">
        <f>B16-$B$6</f>
        <v/>
      </c>
      <c r="C18" s="36">
        <f>C16-$B$6</f>
        <v/>
      </c>
      <c r="D18" s="36">
        <f>D16-$B$6</f>
        <v/>
      </c>
    </row>
    <row r="19">
      <c r="A19" s="12" t="inlineStr">
        <is>
          <t>Corporation tax</t>
        </is>
      </c>
      <c r="B19" s="33">
        <f>-MAX(0,B18)*'Допущения'!$B$41</f>
        <v/>
      </c>
      <c r="C19" s="33">
        <f>-MAX(0,C18)*'Допущения'!$B$41</f>
        <v/>
      </c>
      <c r="D19" s="33">
        <f>-MAX(0,D18)*'Допущения'!$B$41</f>
        <v/>
      </c>
    </row>
    <row r="20">
      <c r="A20" s="26" t="inlineStr">
        <is>
          <t>ЧИСТАЯ ПРИБЫЛЬ</t>
        </is>
      </c>
      <c r="B20" s="39">
        <f>B18+B19</f>
        <v/>
      </c>
      <c r="C20" s="39">
        <f>C18+C19</f>
        <v/>
      </c>
      <c r="D20" s="39">
        <f>D18+D19</f>
        <v/>
      </c>
    </row>
  </sheetData>
  <mergeCells count="10">
    <mergeCell ref="A12:E12"/>
    <mergeCell ref="C5:E5"/>
    <mergeCell ref="C8:E8"/>
    <mergeCell ref="C9:E9"/>
    <mergeCell ref="C4:E4"/>
    <mergeCell ref="A1:E1"/>
    <mergeCell ref="C3:E3"/>
    <mergeCell ref="C7:E7"/>
    <mergeCell ref="C6:E6"/>
    <mergeCell ref="C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</cols>
  <sheetData>
    <row r="1">
      <c r="A1" s="1" t="inlineStr">
        <is>
          <t>НАЛОГИ И ОБЯЗАТЕЛЬНЫЕ ПЛАТЕЖИ (Год 1)</t>
        </is>
      </c>
    </row>
    <row r="2">
      <c r="A2" s="5" t="inlineStr">
        <is>
          <t>Статья</t>
        </is>
      </c>
      <c r="B2" s="5" t="inlineStr">
        <is>
          <t>Сумма/ставка</t>
        </is>
      </c>
      <c r="C2" s="5" t="inlineStr">
        <is>
          <t>Пояснение и источник</t>
        </is>
      </c>
    </row>
    <row r="3">
      <c r="A3" s="6" t="inlineStr">
        <is>
          <t>НДС (VAT)</t>
        </is>
      </c>
      <c r="B3" s="24" t="n"/>
      <c r="C3" s="25" t="n"/>
    </row>
    <row r="4">
      <c r="A4" s="12" t="inlineStr">
        <is>
          <t>Ставка НДS (горячая еда навынос)</t>
        </is>
      </c>
      <c r="B4" s="29">
        <f>'Допущения'!$B$7</f>
        <v/>
      </c>
      <c r="C4" s="10" t="inlineStr">
        <is>
          <t>HMRC VAT Notice 701/14 — стандартная ставка 20%.</t>
        </is>
      </c>
    </row>
    <row r="5">
      <c r="A5" s="12" t="inlineStr">
        <is>
          <t>Выходной НДС (с продаж), год</t>
        </is>
      </c>
      <c r="B5" s="33">
        <f>'Выручка'!$O$10</f>
        <v/>
      </c>
      <c r="C5" s="10" t="inlineStr">
        <is>
          <t>20/120 от брутто-выручки.</t>
        </is>
      </c>
    </row>
    <row r="6">
      <c r="A6" s="12" t="inlineStr">
        <is>
          <t>Входной НДС к возмещению (оценка)</t>
        </is>
      </c>
      <c r="B6" s="33">
        <f>'Опер. расходы'!$C$17*'Допущения'!$B$7/(1+'Допущения'!$B$7)</f>
        <v/>
      </c>
      <c r="C6" s="10" t="inlineStr">
        <is>
          <t>По упаковке/коммуналке/услугам; сырьё — нулевая ставка.</t>
        </is>
      </c>
    </row>
    <row r="7">
      <c r="A7" s="22" t="inlineStr">
        <is>
          <t>НДС к уплате в бюджет, год</t>
        </is>
      </c>
      <c r="B7" s="36">
        <f>B5-B6</f>
        <v/>
      </c>
      <c r="C7" s="10" t="inlineStr">
        <is>
          <t>Выходной минус входной.</t>
        </is>
      </c>
    </row>
    <row r="8">
      <c r="A8" s="12" t="inlineStr">
        <is>
          <t>Порог регистрации по НДС</t>
        </is>
      </c>
      <c r="B8" s="33" t="n">
        <v>90000</v>
      </c>
      <c r="C8" s="10" t="inlineStr">
        <is>
          <t>Обязательная регистрация при обороте &gt;£90,000.</t>
        </is>
      </c>
    </row>
    <row r="10">
      <c r="A10" s="6" t="inlineStr">
        <is>
          <t>CORPORATION TAX</t>
        </is>
      </c>
      <c r="B10" s="24" t="n"/>
      <c r="C10" s="25" t="n"/>
    </row>
    <row r="11">
      <c r="A11" s="12" t="inlineStr">
        <is>
          <t>Прибыль до налога (PBT), Год 1</t>
        </is>
      </c>
      <c r="B11" s="33">
        <f>'P&amp;L (3 года)'!$B$17</f>
        <v/>
      </c>
      <c r="C11" s="10" t="inlineStr">
        <is>
          <t>Из P&amp;L.</t>
        </is>
      </c>
    </row>
    <row r="12">
      <c r="A12" s="12" t="inlineStr">
        <is>
          <t>Ставка (small profits)</t>
        </is>
      </c>
      <c r="B12" s="29">
        <f>'Допущения'!$B$41</f>
        <v/>
      </c>
      <c r="C12" s="10" t="inlineStr">
        <is>
          <t>19% при прибыли ≤£50k; marginal relief £50k–£250k (эфф. 26.5%), 25% свыше £250k.</t>
        </is>
      </c>
    </row>
    <row r="13">
      <c r="A13" s="22" t="inlineStr">
        <is>
          <t>Corporation tax, Год 1</t>
        </is>
      </c>
      <c r="B13" s="36">
        <f>MAX(0,B11)*B12</f>
        <v/>
      </c>
      <c r="C13" s="10" t="inlineStr">
        <is>
          <t>Оценка по ставке small profits.</t>
        </is>
      </c>
    </row>
    <row r="15">
      <c r="A15" s="6" t="inlineStr">
        <is>
          <t>ЗАРПЛАТНЫЕ НАЛОГИ (payroll)</t>
        </is>
      </c>
      <c r="B15" s="24" t="n"/>
      <c r="C15" s="25" t="n"/>
    </row>
    <row r="16">
      <c r="A16" s="12" t="inlineStr">
        <is>
          <t>Employer NIC к уплате, год</t>
        </is>
      </c>
      <c r="B16" s="33">
        <f>'Персонал'!$B$11</f>
        <v/>
      </c>
      <c r="C16" s="10" t="inlineStr">
        <is>
          <t>15% сверх £5,000/сотр., минус Employment Allowance (£10,500).</t>
        </is>
      </c>
    </row>
    <row r="17">
      <c r="A17" s="12" t="inlineStr">
        <is>
          <t>Пенсионные взносы работодателя, год</t>
        </is>
      </c>
      <c r="B17" s="33">
        <f>'Персонал'!$B$13</f>
        <v/>
      </c>
      <c r="C17" s="10" t="inlineStr">
        <is>
          <t>Auto-enrolment, 3% на qualifying earnings.</t>
        </is>
      </c>
    </row>
    <row r="18">
      <c r="A18" s="22" t="inlineStr">
        <is>
          <t>Итого зарплатные налоги/взносы</t>
        </is>
      </c>
      <c r="B18" s="36">
        <f>B16+B17</f>
        <v/>
      </c>
      <c r="C18" s="10" t="inlineStr"/>
    </row>
    <row r="20">
      <c r="A20" s="6" t="inlineStr">
        <is>
          <t>BUSINESS RATES</t>
        </is>
      </c>
      <c r="B20" s="24" t="n"/>
      <c r="C20" s="25" t="n"/>
    </row>
    <row r="21">
      <c r="A21" s="22" t="inlineStr">
        <is>
          <t>Business rates (оценка)</t>
        </is>
      </c>
      <c r="B21" s="36" t="n">
        <v>0</v>
      </c>
      <c r="C21" s="10" t="inlineStr">
        <is>
          <t>Малый киоск: RV&lt;£12,000 → 100% Small Business Rate Relief (£0). Уличная точка платит pitch fee вместо rates.</t>
        </is>
      </c>
    </row>
    <row r="23">
      <c r="A23" s="26" t="inlineStr">
        <is>
          <t>ИТОГО НАЛОГОВ И ВЗНОСОВ (Год 1)</t>
        </is>
      </c>
      <c r="B23" s="39">
        <f>B7+B13+B18+B21</f>
        <v/>
      </c>
      <c r="C23" s="10" t="inlineStr">
        <is>
          <t>НДС + Corp tax + NIC + пенсия + rates.</t>
        </is>
      </c>
    </row>
  </sheetData>
  <mergeCells count="5">
    <mergeCell ref="A10:C10"/>
    <mergeCell ref="A1:C1"/>
    <mergeCell ref="A3:C3"/>
    <mergeCell ref="A15:C15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2026-07-18T02:52:02Z</dcterms:created>
  <dcterms:modified xmlns:dcterms="http://purl.org/dc/terms/" xmlns:xsi="http://www.w3.org/2001/XMLSchema-instance" xsi:type="dcterms:W3CDTF">2026-07-18T02:52:02Z</dcterms:modified>
</cp:coreProperties>
</file>